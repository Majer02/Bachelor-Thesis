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685" documentId="8_{2396A90B-B910-459B-ACE8-58213C55B081}" xr6:coauthVersionLast="47" xr6:coauthVersionMax="47" xr10:uidLastSave="{FE3DAAEC-E9AB-482A-B2F2-ACDE84DC2332}"/>
  <bookViews>
    <workbookView xWindow="-98" yWindow="-98" windowWidth="21795" windowHeight="12975" activeTab="1" xr2:uid="{B4FD3550-17E7-4D46-90CC-DFB7D5127C87}"/>
  </bookViews>
  <sheets>
    <sheet name="SZE" sheetId="1" r:id="rId1"/>
    <sheet name="SZ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6" i="2" l="1"/>
  <c r="D36" i="2"/>
  <c r="E36" i="2"/>
  <c r="F36" i="2"/>
  <c r="B36" i="2"/>
  <c r="C26" i="2"/>
  <c r="D26" i="2"/>
  <c r="E26" i="2"/>
  <c r="F26" i="2"/>
  <c r="C27" i="2"/>
  <c r="D27" i="2"/>
  <c r="E27" i="2"/>
  <c r="F27" i="2"/>
  <c r="C28" i="2"/>
  <c r="D28" i="2"/>
  <c r="E28" i="2"/>
  <c r="F28" i="2"/>
  <c r="C29" i="2"/>
  <c r="D29" i="2"/>
  <c r="E29" i="2"/>
  <c r="F29" i="2"/>
  <c r="C30" i="2"/>
  <c r="D30" i="2"/>
  <c r="E30" i="2"/>
  <c r="F30" i="2"/>
  <c r="C31" i="2"/>
  <c r="D31" i="2"/>
  <c r="E31" i="2"/>
  <c r="F31" i="2"/>
  <c r="C32" i="2"/>
  <c r="D32" i="2"/>
  <c r="E32" i="2"/>
  <c r="F32" i="2"/>
  <c r="C33" i="2"/>
  <c r="D33" i="2"/>
  <c r="E33" i="2"/>
  <c r="F33" i="2"/>
  <c r="C34" i="2"/>
  <c r="D34" i="2"/>
  <c r="E34" i="2"/>
  <c r="F34" i="2"/>
  <c r="C35" i="2"/>
  <c r="D35" i="2"/>
  <c r="E35" i="2"/>
  <c r="F35" i="2"/>
  <c r="B35" i="2"/>
  <c r="B34" i="2"/>
  <c r="B33" i="2"/>
  <c r="B32" i="2"/>
  <c r="B31" i="2"/>
  <c r="B30" i="2"/>
  <c r="B29" i="2"/>
  <c r="B28" i="2"/>
  <c r="B26" i="2"/>
  <c r="C18" i="2"/>
  <c r="D18" i="2"/>
  <c r="C17" i="2"/>
  <c r="D17" i="2"/>
  <c r="E17" i="2"/>
  <c r="F17" i="2"/>
  <c r="B17" i="2"/>
  <c r="C16" i="2"/>
  <c r="C19" i="2" s="1"/>
  <c r="C21" i="2" s="1"/>
  <c r="C15" i="2"/>
  <c r="D15" i="2"/>
  <c r="D16" i="2" s="1"/>
  <c r="D19" i="2" s="1"/>
  <c r="D21" i="2" s="1"/>
  <c r="D22" i="2" s="1"/>
  <c r="E15" i="2"/>
  <c r="F15" i="2"/>
  <c r="B15" i="2"/>
  <c r="C14" i="2"/>
  <c r="D14" i="2"/>
  <c r="E14" i="2"/>
  <c r="F14" i="2"/>
  <c r="B14" i="2"/>
  <c r="C13" i="2"/>
  <c r="D13" i="2"/>
  <c r="E13" i="2"/>
  <c r="F13" i="2"/>
  <c r="B13" i="2"/>
  <c r="C12" i="2"/>
  <c r="C20" i="2" s="1"/>
  <c r="D12" i="2"/>
  <c r="D20" i="2" s="1"/>
  <c r="E12" i="2"/>
  <c r="E18" i="2" s="1"/>
  <c r="F12" i="2"/>
  <c r="F18" i="2" s="1"/>
  <c r="B12" i="2"/>
  <c r="B20" i="2" s="1"/>
  <c r="C11" i="2"/>
  <c r="D11" i="2"/>
  <c r="E11" i="2"/>
  <c r="F11" i="2"/>
  <c r="B11" i="2"/>
  <c r="X35" i="1"/>
  <c r="Y35" i="1"/>
  <c r="Z35" i="1"/>
  <c r="AA35" i="1"/>
  <c r="X36" i="1"/>
  <c r="Y36" i="1"/>
  <c r="Z36" i="1"/>
  <c r="AA36" i="1"/>
  <c r="X37" i="1"/>
  <c r="Y37" i="1"/>
  <c r="Z37" i="1"/>
  <c r="AA37" i="1"/>
  <c r="X38" i="1"/>
  <c r="Y38" i="1"/>
  <c r="Z38" i="1"/>
  <c r="AA38" i="1"/>
  <c r="X39" i="1"/>
  <c r="Y39" i="1"/>
  <c r="Z39" i="1"/>
  <c r="AA39" i="1"/>
  <c r="X40" i="1"/>
  <c r="Y40" i="1"/>
  <c r="Z40" i="1"/>
  <c r="AA40" i="1"/>
  <c r="X41" i="1"/>
  <c r="Y41" i="1"/>
  <c r="Z41" i="1"/>
  <c r="AA41" i="1"/>
  <c r="X42" i="1"/>
  <c r="Y42" i="1"/>
  <c r="Z42" i="1"/>
  <c r="AA42" i="1"/>
  <c r="X43" i="1"/>
  <c r="Y43" i="1"/>
  <c r="Z43" i="1"/>
  <c r="AA43" i="1"/>
  <c r="X44" i="1"/>
  <c r="Y44" i="1"/>
  <c r="Z44" i="1"/>
  <c r="AA44" i="1"/>
  <c r="W43" i="1"/>
  <c r="W42" i="1"/>
  <c r="W41" i="1"/>
  <c r="W40" i="1"/>
  <c r="W39" i="1"/>
  <c r="W38" i="1"/>
  <c r="W37" i="1"/>
  <c r="AE35" i="1"/>
  <c r="AF35" i="1"/>
  <c r="AG35" i="1"/>
  <c r="AH35" i="1"/>
  <c r="AE36" i="1"/>
  <c r="AF36" i="1"/>
  <c r="AG36" i="1"/>
  <c r="AH36" i="1"/>
  <c r="AE37" i="1"/>
  <c r="AF37" i="1"/>
  <c r="AG37" i="1"/>
  <c r="AH37" i="1"/>
  <c r="AE38" i="1"/>
  <c r="AF38" i="1"/>
  <c r="AG38" i="1"/>
  <c r="AH38" i="1"/>
  <c r="AE39" i="1"/>
  <c r="AF39" i="1"/>
  <c r="AG39" i="1"/>
  <c r="AH39" i="1"/>
  <c r="AE40" i="1"/>
  <c r="AF40" i="1"/>
  <c r="AG40" i="1"/>
  <c r="AH40" i="1"/>
  <c r="AE41" i="1"/>
  <c r="AF41" i="1"/>
  <c r="AG41" i="1"/>
  <c r="AH41" i="1"/>
  <c r="AE42" i="1"/>
  <c r="AF42" i="1"/>
  <c r="AG42" i="1"/>
  <c r="AH42" i="1"/>
  <c r="AE43" i="1"/>
  <c r="AF43" i="1"/>
  <c r="AG43" i="1"/>
  <c r="AH43" i="1"/>
  <c r="AE44" i="1"/>
  <c r="AF44" i="1"/>
  <c r="AG44" i="1"/>
  <c r="AH44" i="1"/>
  <c r="AD44" i="1"/>
  <c r="AD43" i="1"/>
  <c r="AD42" i="1"/>
  <c r="AD41" i="1"/>
  <c r="AD40" i="1"/>
  <c r="AD39" i="1"/>
  <c r="AD38" i="1"/>
  <c r="AD37" i="1"/>
  <c r="AD35" i="1"/>
  <c r="AE22" i="1"/>
  <c r="AF22" i="1"/>
  <c r="AG22" i="1"/>
  <c r="AH22" i="1"/>
  <c r="AD22" i="1"/>
  <c r="W44" i="1"/>
  <c r="AA22" i="1"/>
  <c r="Z22" i="1"/>
  <c r="Y22" i="1"/>
  <c r="X22" i="1"/>
  <c r="W22" i="1"/>
  <c r="Q35" i="1"/>
  <c r="R35" i="1"/>
  <c r="S35" i="1"/>
  <c r="T35" i="1"/>
  <c r="Q36" i="1"/>
  <c r="R36" i="1"/>
  <c r="S36" i="1"/>
  <c r="T36" i="1"/>
  <c r="Q37" i="1"/>
  <c r="R37" i="1"/>
  <c r="S37" i="1"/>
  <c r="T37" i="1"/>
  <c r="Q38" i="1"/>
  <c r="R38" i="1"/>
  <c r="S38" i="1"/>
  <c r="T38" i="1"/>
  <c r="Q39" i="1"/>
  <c r="R39" i="1"/>
  <c r="S39" i="1"/>
  <c r="T39" i="1"/>
  <c r="Q40" i="1"/>
  <c r="R40" i="1"/>
  <c r="S40" i="1"/>
  <c r="T40" i="1"/>
  <c r="Q41" i="1"/>
  <c r="R41" i="1"/>
  <c r="S41" i="1"/>
  <c r="T41" i="1"/>
  <c r="Q42" i="1"/>
  <c r="R42" i="1"/>
  <c r="S42" i="1"/>
  <c r="T42" i="1"/>
  <c r="Q43" i="1"/>
  <c r="R43" i="1"/>
  <c r="S43" i="1"/>
  <c r="T43" i="1"/>
  <c r="Q44" i="1"/>
  <c r="R44" i="1"/>
  <c r="S44" i="1"/>
  <c r="T44" i="1"/>
  <c r="P35" i="1"/>
  <c r="P37" i="1" s="1"/>
  <c r="Q22" i="1"/>
  <c r="R22" i="1"/>
  <c r="S22" i="1"/>
  <c r="T22" i="1"/>
  <c r="P22" i="1"/>
  <c r="P38" i="1"/>
  <c r="J35" i="1"/>
  <c r="J36" i="1" s="1"/>
  <c r="K35" i="1"/>
  <c r="L35" i="1"/>
  <c r="M35" i="1"/>
  <c r="K36" i="1"/>
  <c r="L36" i="1"/>
  <c r="M36" i="1"/>
  <c r="J37" i="1"/>
  <c r="K37" i="1"/>
  <c r="L37" i="1"/>
  <c r="M37" i="1"/>
  <c r="J38" i="1"/>
  <c r="K38" i="1"/>
  <c r="L38" i="1"/>
  <c r="M38" i="1"/>
  <c r="J39" i="1"/>
  <c r="K39" i="1"/>
  <c r="L39" i="1"/>
  <c r="M39" i="1"/>
  <c r="J40" i="1"/>
  <c r="K40" i="1"/>
  <c r="L40" i="1"/>
  <c r="M40" i="1"/>
  <c r="J41" i="1"/>
  <c r="K41" i="1"/>
  <c r="L41" i="1"/>
  <c r="M41" i="1"/>
  <c r="J42" i="1"/>
  <c r="K42" i="1"/>
  <c r="L42" i="1"/>
  <c r="M42" i="1"/>
  <c r="J43" i="1"/>
  <c r="K43" i="1"/>
  <c r="L43" i="1"/>
  <c r="M43" i="1"/>
  <c r="J44" i="1"/>
  <c r="K44" i="1"/>
  <c r="L44" i="1"/>
  <c r="M44" i="1"/>
  <c r="I44" i="1"/>
  <c r="I43" i="1"/>
  <c r="I42" i="1"/>
  <c r="I41" i="1"/>
  <c r="I40" i="1"/>
  <c r="I39" i="1"/>
  <c r="I38" i="1"/>
  <c r="I37" i="1"/>
  <c r="I35" i="1"/>
  <c r="M22" i="1"/>
  <c r="L22" i="1"/>
  <c r="K22" i="1"/>
  <c r="J22" i="1"/>
  <c r="I22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B44" i="1"/>
  <c r="B43" i="1"/>
  <c r="B42" i="1"/>
  <c r="B41" i="1"/>
  <c r="B40" i="1"/>
  <c r="B39" i="1"/>
  <c r="B38" i="1"/>
  <c r="B37" i="1"/>
  <c r="B35" i="1"/>
  <c r="P21" i="1"/>
  <c r="Q21" i="1"/>
  <c r="J21" i="1"/>
  <c r="L21" i="1"/>
  <c r="L24" i="1"/>
  <c r="AH18" i="1"/>
  <c r="AG18" i="1"/>
  <c r="AF18" i="1"/>
  <c r="AF21" i="1" s="1"/>
  <c r="AE18" i="1"/>
  <c r="AD18" i="1"/>
  <c r="AH15" i="1"/>
  <c r="AH16" i="1" s="1"/>
  <c r="AH21" i="1" s="1"/>
  <c r="AG15" i="1"/>
  <c r="AG19" i="1" s="1"/>
  <c r="AF15" i="1"/>
  <c r="AF16" i="1" s="1"/>
  <c r="AF24" i="1" s="1"/>
  <c r="AE15" i="1"/>
  <c r="AE16" i="1" s="1"/>
  <c r="AE21" i="1" s="1"/>
  <c r="AD15" i="1"/>
  <c r="AD19" i="1" s="1"/>
  <c r="AA19" i="1"/>
  <c r="AA18" i="1"/>
  <c r="Z18" i="1"/>
  <c r="Y18" i="1"/>
  <c r="X18" i="1"/>
  <c r="W18" i="1"/>
  <c r="W21" i="1" s="1"/>
  <c r="AA16" i="1"/>
  <c r="AA24" i="1" s="1"/>
  <c r="AA15" i="1"/>
  <c r="Z15" i="1"/>
  <c r="Z19" i="1" s="1"/>
  <c r="Y15" i="1"/>
  <c r="Y16" i="1" s="1"/>
  <c r="Y21" i="1" s="1"/>
  <c r="X15" i="1"/>
  <c r="X19" i="1" s="1"/>
  <c r="W15" i="1"/>
  <c r="W16" i="1" s="1"/>
  <c r="W24" i="1" s="1"/>
  <c r="T18" i="1"/>
  <c r="S18" i="1"/>
  <c r="S20" i="1" s="1"/>
  <c r="S23" i="1" s="1"/>
  <c r="R18" i="1"/>
  <c r="Q18" i="1"/>
  <c r="P18" i="1"/>
  <c r="T15" i="1"/>
  <c r="T16" i="1" s="1"/>
  <c r="T21" i="1" s="1"/>
  <c r="S15" i="1"/>
  <c r="S19" i="1" s="1"/>
  <c r="R15" i="1"/>
  <c r="R16" i="1" s="1"/>
  <c r="R24" i="1" s="1"/>
  <c r="Q15" i="1"/>
  <c r="Q16" i="1" s="1"/>
  <c r="Q24" i="1" s="1"/>
  <c r="P15" i="1"/>
  <c r="P16" i="1" s="1"/>
  <c r="P24" i="1" s="1"/>
  <c r="J18" i="1"/>
  <c r="K18" i="1"/>
  <c r="L18" i="1"/>
  <c r="M18" i="1"/>
  <c r="I18" i="1"/>
  <c r="M16" i="1"/>
  <c r="M21" i="1" s="1"/>
  <c r="J15" i="1"/>
  <c r="J16" i="1" s="1"/>
  <c r="J24" i="1" s="1"/>
  <c r="K15" i="1"/>
  <c r="K19" i="1" s="1"/>
  <c r="L15" i="1"/>
  <c r="L16" i="1" s="1"/>
  <c r="M15" i="1"/>
  <c r="M19" i="1" s="1"/>
  <c r="I15" i="1"/>
  <c r="I16" i="1" s="1"/>
  <c r="F15" i="1"/>
  <c r="F19" i="1" s="1"/>
  <c r="F20" i="1" s="1"/>
  <c r="F23" i="1" s="1"/>
  <c r="B15" i="1"/>
  <c r="B19" i="1" s="1"/>
  <c r="C15" i="1"/>
  <c r="D15" i="1"/>
  <c r="D16" i="1" s="1"/>
  <c r="E15" i="1"/>
  <c r="C19" i="1"/>
  <c r="D19" i="1"/>
  <c r="E19" i="1"/>
  <c r="E20" i="1" s="1"/>
  <c r="E23" i="1" s="1"/>
  <c r="C18" i="1"/>
  <c r="C22" i="1" s="1"/>
  <c r="D18" i="1"/>
  <c r="E18" i="1"/>
  <c r="F18" i="1"/>
  <c r="E17" i="1"/>
  <c r="C16" i="1"/>
  <c r="C21" i="1" s="1"/>
  <c r="E16" i="1"/>
  <c r="E21" i="1" s="1"/>
  <c r="B18" i="1"/>
  <c r="B20" i="1" s="1"/>
  <c r="B23" i="1" s="1"/>
  <c r="B27" i="2" l="1"/>
  <c r="C22" i="2"/>
  <c r="F20" i="2"/>
  <c r="B18" i="2"/>
  <c r="E20" i="2"/>
  <c r="F16" i="2"/>
  <c r="F19" i="2" s="1"/>
  <c r="F21" i="2" s="1"/>
  <c r="F22" i="2" s="1"/>
  <c r="E16" i="2"/>
  <c r="E19" i="2" s="1"/>
  <c r="E21" i="2" s="1"/>
  <c r="E22" i="2" s="1"/>
  <c r="B16" i="2"/>
  <c r="B19" i="2" s="1"/>
  <c r="B21" i="2" s="1"/>
  <c r="B22" i="2" s="1"/>
  <c r="P39" i="1"/>
  <c r="P40" i="1"/>
  <c r="P41" i="1"/>
  <c r="P42" i="1"/>
  <c r="P43" i="1"/>
  <c r="P44" i="1"/>
  <c r="D21" i="1"/>
  <c r="D24" i="1"/>
  <c r="D17" i="1"/>
  <c r="E22" i="1"/>
  <c r="I24" i="1"/>
  <c r="I21" i="1"/>
  <c r="D22" i="1"/>
  <c r="C24" i="1"/>
  <c r="M24" i="1"/>
  <c r="B16" i="1"/>
  <c r="AA21" i="1"/>
  <c r="C17" i="1"/>
  <c r="F16" i="1"/>
  <c r="AE24" i="1"/>
  <c r="AD16" i="1"/>
  <c r="I19" i="1"/>
  <c r="Y19" i="1"/>
  <c r="E24" i="1"/>
  <c r="Z16" i="1"/>
  <c r="R21" i="1"/>
  <c r="E25" i="1"/>
  <c r="E26" i="1" s="1"/>
  <c r="AH17" i="1"/>
  <c r="AH24" i="1"/>
  <c r="AH19" i="1"/>
  <c r="AH20" i="1" s="1"/>
  <c r="AH23" i="1" s="1"/>
  <c r="AG16" i="1"/>
  <c r="AG21" i="1" s="1"/>
  <c r="Y17" i="1"/>
  <c r="Y24" i="1"/>
  <c r="AA17" i="1"/>
  <c r="X20" i="1"/>
  <c r="X23" i="1" s="1"/>
  <c r="Y20" i="1"/>
  <c r="Y23" i="1" s="1"/>
  <c r="X16" i="1"/>
  <c r="X21" i="1" s="1"/>
  <c r="Z20" i="1"/>
  <c r="Z23" i="1" s="1"/>
  <c r="AA20" i="1"/>
  <c r="AA23" i="1" s="1"/>
  <c r="T17" i="1"/>
  <c r="T24" i="1"/>
  <c r="T19" i="1"/>
  <c r="T20" i="1" s="1"/>
  <c r="T23" i="1" s="1"/>
  <c r="S16" i="1"/>
  <c r="S21" i="1" s="1"/>
  <c r="K20" i="1"/>
  <c r="K23" i="1" s="1"/>
  <c r="M17" i="1"/>
  <c r="I20" i="1"/>
  <c r="I23" i="1" s="1"/>
  <c r="M20" i="1"/>
  <c r="M23" i="1" s="1"/>
  <c r="D20" i="1"/>
  <c r="D23" i="1" s="1"/>
  <c r="C20" i="1"/>
  <c r="C23" i="1" s="1"/>
  <c r="AD20" i="1"/>
  <c r="AD23" i="1" s="1"/>
  <c r="AF17" i="1"/>
  <c r="AE17" i="1"/>
  <c r="AG20" i="1"/>
  <c r="AG23" i="1" s="1"/>
  <c r="AD17" i="1"/>
  <c r="AE19" i="1"/>
  <c r="AE20" i="1" s="1"/>
  <c r="AE23" i="1" s="1"/>
  <c r="AF19" i="1"/>
  <c r="AF20" i="1" s="1"/>
  <c r="AF23" i="1" s="1"/>
  <c r="W17" i="1"/>
  <c r="W19" i="1"/>
  <c r="W20" i="1" s="1"/>
  <c r="W23" i="1" s="1"/>
  <c r="P17" i="1"/>
  <c r="Q17" i="1"/>
  <c r="R17" i="1"/>
  <c r="P19" i="1"/>
  <c r="P20" i="1" s="1"/>
  <c r="P23" i="1" s="1"/>
  <c r="Q19" i="1"/>
  <c r="Q20" i="1" s="1"/>
  <c r="Q23" i="1" s="1"/>
  <c r="R19" i="1"/>
  <c r="R20" i="1" s="1"/>
  <c r="R23" i="1" s="1"/>
  <c r="I17" i="1"/>
  <c r="J17" i="1"/>
  <c r="L17" i="1"/>
  <c r="L19" i="1"/>
  <c r="L20" i="1" s="1"/>
  <c r="L23" i="1" s="1"/>
  <c r="K16" i="1"/>
  <c r="J19" i="1"/>
  <c r="J20" i="1" s="1"/>
  <c r="J23" i="1" s="1"/>
  <c r="Z17" i="1" l="1"/>
  <c r="Z21" i="1"/>
  <c r="K24" i="1"/>
  <c r="K21" i="1"/>
  <c r="B17" i="1"/>
  <c r="B21" i="1"/>
  <c r="B24" i="1"/>
  <c r="F17" i="1"/>
  <c r="F21" i="1"/>
  <c r="F24" i="1"/>
  <c r="E45" i="1"/>
  <c r="S25" i="1"/>
  <c r="S26" i="1" s="1"/>
  <c r="Z24" i="1"/>
  <c r="AD24" i="1"/>
  <c r="AD21" i="1"/>
  <c r="AD36" i="1" s="1"/>
  <c r="W35" i="1"/>
  <c r="W36" i="1" s="1"/>
  <c r="Y25" i="1"/>
  <c r="Y26" i="1" s="1"/>
  <c r="X25" i="1"/>
  <c r="AA25" i="1"/>
  <c r="AA26" i="1" s="1"/>
  <c r="P36" i="1"/>
  <c r="I36" i="1"/>
  <c r="Z25" i="1"/>
  <c r="Z26" i="1" s="1"/>
  <c r="AG17" i="1"/>
  <c r="AG24" i="1"/>
  <c r="X17" i="1"/>
  <c r="X24" i="1"/>
  <c r="S17" i="1"/>
  <c r="S24" i="1"/>
  <c r="K17" i="1"/>
  <c r="S45" i="1" l="1"/>
  <c r="B22" i="1"/>
  <c r="F22" i="1"/>
  <c r="X26" i="1"/>
  <c r="M25" i="1"/>
  <c r="M26" i="1" s="1"/>
  <c r="AF25" i="1"/>
  <c r="AF26" i="1" s="1"/>
  <c r="AG25" i="1"/>
  <c r="AG26" i="1" s="1"/>
  <c r="K25" i="1"/>
  <c r="K26" i="1" s="1"/>
  <c r="Q25" i="1"/>
  <c r="Q26" i="1" s="1"/>
  <c r="C25" i="1"/>
  <c r="C26" i="1" s="1"/>
  <c r="J25" i="1"/>
  <c r="J26" i="1" s="1"/>
  <c r="AD25" i="1"/>
  <c r="AD26" i="1" s="1"/>
  <c r="AE25" i="1"/>
  <c r="AE26" i="1" s="1"/>
  <c r="L25" i="1"/>
  <c r="L26" i="1" s="1"/>
  <c r="AH25" i="1"/>
  <c r="AH26" i="1" s="1"/>
  <c r="I25" i="1"/>
  <c r="I26" i="1" s="1"/>
  <c r="W25" i="1"/>
  <c r="W26" i="1" s="1"/>
  <c r="P25" i="1"/>
  <c r="P26" i="1" s="1"/>
  <c r="D25" i="1"/>
  <c r="D26" i="1" s="1"/>
  <c r="T25" i="1"/>
  <c r="T26" i="1" s="1"/>
  <c r="R25" i="1"/>
  <c r="R26" i="1" s="1"/>
  <c r="B36" i="1" l="1"/>
  <c r="B25" i="1"/>
  <c r="B26" i="1" s="1"/>
  <c r="F25" i="1"/>
  <c r="F26" i="1" s="1"/>
  <c r="Y45" i="1"/>
  <c r="C45" i="1"/>
  <c r="Q45" i="1"/>
  <c r="X45" i="1"/>
  <c r="AA45" i="1"/>
  <c r="M45" i="1"/>
  <c r="L45" i="1"/>
  <c r="AG45" i="1"/>
  <c r="D45" i="1"/>
  <c r="AE45" i="1"/>
  <c r="K45" i="1"/>
  <c r="AH45" i="1"/>
  <c r="J45" i="1"/>
  <c r="W45" i="1"/>
  <c r="AF45" i="1"/>
  <c r="P45" i="1"/>
  <c r="T45" i="1"/>
  <c r="R45" i="1"/>
  <c r="AD45" i="1"/>
  <c r="I45" i="1"/>
  <c r="Z45" i="1"/>
  <c r="F45" i="1" l="1"/>
  <c r="B45" i="1"/>
</calcChain>
</file>

<file path=xl/sharedStrings.xml><?xml version="1.0" encoding="utf-8"?>
<sst xmlns="http://schemas.openxmlformats.org/spreadsheetml/2006/main" count="136" uniqueCount="40">
  <si>
    <t>Ucc</t>
  </si>
  <si>
    <t>Ubeq</t>
  </si>
  <si>
    <t>Uul</t>
  </si>
  <si>
    <t>Ibq</t>
  </si>
  <si>
    <t>Rbb</t>
  </si>
  <si>
    <t>Icq</t>
  </si>
  <si>
    <t>Uceq</t>
  </si>
  <si>
    <t>hfe</t>
  </si>
  <si>
    <t>Av</t>
  </si>
  <si>
    <t>Rac</t>
  </si>
  <si>
    <t>Re</t>
  </si>
  <si>
    <t>Rt</t>
  </si>
  <si>
    <t>Rc</t>
  </si>
  <si>
    <t>hie</t>
  </si>
  <si>
    <t>Umt</t>
  </si>
  <si>
    <t>Rt = 2200 ohm</t>
  </si>
  <si>
    <t>Rt = 550 ohm</t>
  </si>
  <si>
    <t>Rt = 1100 ohm</t>
  </si>
  <si>
    <t>Rt = 3300 ohm</t>
  </si>
  <si>
    <t>Rt = 4400 ohm</t>
  </si>
  <si>
    <t>η [%]</t>
  </si>
  <si>
    <t>Pcc [W]</t>
  </si>
  <si>
    <t>Pout [W]</t>
  </si>
  <si>
    <t>theta 1</t>
  </si>
  <si>
    <t>theta 2</t>
  </si>
  <si>
    <t>Harmonic 1</t>
  </si>
  <si>
    <t>Harmonic 2</t>
  </si>
  <si>
    <t>Harmonic 3</t>
  </si>
  <si>
    <t>Harmonic 4</t>
  </si>
  <si>
    <t>Harmonic 5</t>
  </si>
  <si>
    <t>Harmonic 6</t>
  </si>
  <si>
    <t>Harmonic 7</t>
  </si>
  <si>
    <t>Harmonic 8</t>
  </si>
  <si>
    <t>THD [%]</t>
  </si>
  <si>
    <t>Uceq,m,pp</t>
  </si>
  <si>
    <t>Uiz</t>
  </si>
  <si>
    <t>Uceq,M,pp</t>
  </si>
  <si>
    <t>Uiz,M,pp</t>
  </si>
  <si>
    <t>Uiz, M, pp</t>
  </si>
  <si>
    <t>Uiz [V]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</si>
</sst>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E+00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0" fontId="1" fillId="0" borderId="2" xfId="0" applyFont="1" applyBorder="1"/>
    <xf numFmtId="164" fontId="0" fillId="0" borderId="0" xfId="0" applyNumberFormat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37755-7B05-4086-B92B-A6987546BB78}">
  <dimension ref="A1:AH45"/>
  <sheetViews>
    <sheetView topLeftCell="A22" zoomScale="77" zoomScaleNormal="85" workbookViewId="0">
      <selection activeCell="B35" sqref="B35:B45"/>
    </sheetView>
  </sheetViews>
  <sheetFormatPr defaultRowHeight="14.25" x14ac:dyDescent="0.45"/>
  <cols>
    <col min="1" max="1" width="9.73046875" bestFit="1" customWidth="1"/>
    <col min="2" max="4" width="14.73046875" bestFit="1" customWidth="1"/>
    <col min="5" max="6" width="13.73046875" bestFit="1" customWidth="1"/>
    <col min="8" max="8" width="9.59765625" bestFit="1" customWidth="1"/>
    <col min="9" max="13" width="12.06640625" bestFit="1" customWidth="1"/>
    <col min="15" max="15" width="9.59765625" bestFit="1" customWidth="1"/>
    <col min="16" max="20" width="12.06640625" bestFit="1" customWidth="1"/>
    <col min="22" max="22" width="10.1328125" bestFit="1" customWidth="1"/>
    <col min="23" max="24" width="12.06640625" bestFit="1" customWidth="1"/>
    <col min="25" max="25" width="14.86328125" bestFit="1" customWidth="1"/>
    <col min="26" max="27" width="12.06640625" bestFit="1" customWidth="1"/>
    <col min="29" max="29" width="10.1328125" bestFit="1" customWidth="1"/>
    <col min="30" max="34" width="12.06640625" bestFit="1" customWidth="1"/>
  </cols>
  <sheetData>
    <row r="1" spans="1:34" x14ac:dyDescent="0.45">
      <c r="A1" s="1" t="s">
        <v>0</v>
      </c>
      <c r="B1" s="2">
        <v>15</v>
      </c>
    </row>
    <row r="2" spans="1:34" x14ac:dyDescent="0.45">
      <c r="A2" s="1" t="s">
        <v>1</v>
      </c>
      <c r="B2" s="2">
        <v>0.7</v>
      </c>
    </row>
    <row r="3" spans="1:34" x14ac:dyDescent="0.45">
      <c r="A3" s="1" t="s">
        <v>2</v>
      </c>
      <c r="B3" s="2">
        <v>6.2</v>
      </c>
    </row>
    <row r="4" spans="1:34" x14ac:dyDescent="0.45">
      <c r="A4" s="1" t="s">
        <v>14</v>
      </c>
      <c r="B4" s="2">
        <v>2.5000000000000001E-2</v>
      </c>
    </row>
    <row r="5" spans="1:34" x14ac:dyDescent="0.45">
      <c r="A5" s="1" t="s">
        <v>4</v>
      </c>
      <c r="B5" s="2">
        <v>820000</v>
      </c>
    </row>
    <row r="6" spans="1:34" x14ac:dyDescent="0.45">
      <c r="A6" s="1" t="s">
        <v>12</v>
      </c>
      <c r="B6" s="2">
        <v>1000</v>
      </c>
    </row>
    <row r="7" spans="1:34" x14ac:dyDescent="0.45">
      <c r="A7" s="1" t="s">
        <v>7</v>
      </c>
      <c r="B7" s="2">
        <v>380</v>
      </c>
    </row>
    <row r="12" spans="1:34" x14ac:dyDescent="0.45">
      <c r="A12" s="9" t="s">
        <v>16</v>
      </c>
      <c r="B12" s="9"/>
      <c r="C12" s="9"/>
      <c r="D12" s="9"/>
      <c r="E12" s="9"/>
      <c r="F12" s="9"/>
      <c r="H12" s="9" t="s">
        <v>17</v>
      </c>
      <c r="I12" s="9"/>
      <c r="J12" s="9"/>
      <c r="K12" s="9"/>
      <c r="L12" s="9"/>
      <c r="M12" s="9"/>
      <c r="O12" s="9" t="s">
        <v>15</v>
      </c>
      <c r="P12" s="9"/>
      <c r="Q12" s="9"/>
      <c r="R12" s="9"/>
      <c r="S12" s="9"/>
      <c r="T12" s="9"/>
      <c r="V12" s="9" t="s">
        <v>18</v>
      </c>
      <c r="W12" s="9"/>
      <c r="X12" s="9"/>
      <c r="Y12" s="9"/>
      <c r="Z12" s="9"/>
      <c r="AA12" s="9"/>
      <c r="AC12" s="9" t="s">
        <v>19</v>
      </c>
      <c r="AD12" s="9"/>
      <c r="AE12" s="9"/>
      <c r="AF12" s="9"/>
      <c r="AG12" s="9"/>
      <c r="AH12" s="9"/>
    </row>
    <row r="13" spans="1:34" x14ac:dyDescent="0.45">
      <c r="A13" s="1" t="s">
        <v>10</v>
      </c>
      <c r="B13" s="4">
        <v>250</v>
      </c>
      <c r="C13" s="4">
        <v>500</v>
      </c>
      <c r="D13" s="4">
        <v>1000</v>
      </c>
      <c r="E13" s="4">
        <v>2000</v>
      </c>
      <c r="F13" s="4">
        <v>3000</v>
      </c>
      <c r="H13" s="1" t="s">
        <v>10</v>
      </c>
      <c r="I13" s="4">
        <v>250</v>
      </c>
      <c r="J13" s="4">
        <v>500</v>
      </c>
      <c r="K13" s="4">
        <v>1000</v>
      </c>
      <c r="L13" s="4">
        <v>2000</v>
      </c>
      <c r="M13" s="4">
        <v>3000</v>
      </c>
      <c r="O13" s="1" t="s">
        <v>10</v>
      </c>
      <c r="P13" s="4">
        <v>250</v>
      </c>
      <c r="Q13" s="4">
        <v>500</v>
      </c>
      <c r="R13" s="4">
        <v>1000</v>
      </c>
      <c r="S13" s="4">
        <v>2000</v>
      </c>
      <c r="T13" s="4">
        <v>3000</v>
      </c>
      <c r="V13" s="1" t="s">
        <v>10</v>
      </c>
      <c r="W13" s="4">
        <v>250</v>
      </c>
      <c r="X13" s="4">
        <v>500</v>
      </c>
      <c r="Y13" s="4">
        <v>1000</v>
      </c>
      <c r="Z13" s="4">
        <v>2000</v>
      </c>
      <c r="AA13" s="4">
        <v>3000</v>
      </c>
      <c r="AC13" s="1" t="s">
        <v>10</v>
      </c>
      <c r="AD13" s="4">
        <v>250</v>
      </c>
      <c r="AE13" s="4">
        <v>500</v>
      </c>
      <c r="AF13" s="4">
        <v>1000</v>
      </c>
      <c r="AG13" s="4">
        <v>2000</v>
      </c>
      <c r="AH13" s="4">
        <v>3000</v>
      </c>
    </row>
    <row r="14" spans="1:34" x14ac:dyDescent="0.45">
      <c r="A14" s="1" t="s">
        <v>11</v>
      </c>
      <c r="B14" s="4">
        <v>550</v>
      </c>
      <c r="C14" s="4">
        <v>550</v>
      </c>
      <c r="D14" s="4">
        <v>550</v>
      </c>
      <c r="E14" s="4">
        <v>550</v>
      </c>
      <c r="F14" s="4">
        <v>550</v>
      </c>
      <c r="H14" s="1" t="s">
        <v>11</v>
      </c>
      <c r="I14" s="4">
        <v>1100</v>
      </c>
      <c r="J14" s="4">
        <v>1100</v>
      </c>
      <c r="K14" s="4">
        <v>1100</v>
      </c>
      <c r="L14" s="4">
        <v>1100</v>
      </c>
      <c r="M14" s="4">
        <v>1100</v>
      </c>
      <c r="O14" s="1" t="s">
        <v>11</v>
      </c>
      <c r="P14" s="4">
        <v>2200</v>
      </c>
      <c r="Q14" s="4">
        <v>2200</v>
      </c>
      <c r="R14" s="4">
        <v>2200</v>
      </c>
      <c r="S14" s="4">
        <v>2200</v>
      </c>
      <c r="T14" s="4">
        <v>2200</v>
      </c>
      <c r="V14" s="1" t="s">
        <v>11</v>
      </c>
      <c r="W14" s="4">
        <v>3300</v>
      </c>
      <c r="X14" s="4">
        <v>3300</v>
      </c>
      <c r="Y14" s="4">
        <v>3300</v>
      </c>
      <c r="Z14" s="4">
        <v>3300</v>
      </c>
      <c r="AA14" s="4">
        <v>3300</v>
      </c>
      <c r="AC14" s="1" t="s">
        <v>11</v>
      </c>
      <c r="AD14" s="4">
        <v>4400</v>
      </c>
      <c r="AE14" s="4">
        <v>4400</v>
      </c>
      <c r="AF14" s="4">
        <v>4400</v>
      </c>
      <c r="AG14" s="4">
        <v>4400</v>
      </c>
      <c r="AH14" s="4">
        <v>4400</v>
      </c>
    </row>
    <row r="15" spans="1:34" x14ac:dyDescent="0.45">
      <c r="A15" s="1" t="s">
        <v>3</v>
      </c>
      <c r="B15" s="5">
        <f t="shared" ref="B15:D15" si="0">($B$1 - $B$2)/($B$5 + (1 + $B$7)* B13)</f>
        <v>1.5624146408085225E-5</v>
      </c>
      <c r="C15" s="5">
        <f t="shared" si="0"/>
        <v>1.4151410192973776E-5</v>
      </c>
      <c r="D15" s="5">
        <f t="shared" si="0"/>
        <v>1.1906744379683597E-5</v>
      </c>
      <c r="E15" s="5">
        <f>($B$1 - $B$2)/($B$5 + (1 + $B$7)* E13)</f>
        <v>9.0391908975979774E-6</v>
      </c>
      <c r="F15" s="5">
        <f>($B$1 - $B$2)/($B$5 + (1 + $B$7)* F13)</f>
        <v>7.2847682119205301E-6</v>
      </c>
      <c r="H15" s="1" t="s">
        <v>3</v>
      </c>
      <c r="I15" s="5">
        <f>($B$1 - $B$2)/($B$5 + (1 + $B$7)*I13)</f>
        <v>1.5624146408085225E-5</v>
      </c>
      <c r="J15" s="5">
        <f t="shared" ref="J15:M15" si="1">($B$1 - $B$2)/($B$5 + (1 + $B$7)*J13)</f>
        <v>1.4151410192973776E-5</v>
      </c>
      <c r="K15" s="5">
        <f t="shared" si="1"/>
        <v>1.1906744379683597E-5</v>
      </c>
      <c r="L15" s="5">
        <f t="shared" si="1"/>
        <v>9.0391908975979774E-6</v>
      </c>
      <c r="M15" s="5">
        <f t="shared" si="1"/>
        <v>7.2847682119205301E-6</v>
      </c>
      <c r="O15" s="1" t="s">
        <v>3</v>
      </c>
      <c r="P15" s="5">
        <f>($B$1 - $B$2)/($B$5 + (1 + $B$7)*P13)</f>
        <v>1.5624146408085225E-5</v>
      </c>
      <c r="Q15" s="5">
        <f t="shared" ref="Q15:T15" si="2">($B$1 - $B$2)/($B$5 + (1 + $B$7)*Q13)</f>
        <v>1.4151410192973776E-5</v>
      </c>
      <c r="R15" s="5">
        <f t="shared" si="2"/>
        <v>1.1906744379683597E-5</v>
      </c>
      <c r="S15" s="5">
        <f t="shared" si="2"/>
        <v>9.0391908975979774E-6</v>
      </c>
      <c r="T15" s="5">
        <f t="shared" si="2"/>
        <v>7.2847682119205301E-6</v>
      </c>
      <c r="V15" s="1" t="s">
        <v>3</v>
      </c>
      <c r="W15" s="5">
        <f>($B$1 - $B$2)/($B$5 + (1 + $B$7)*W13)</f>
        <v>1.5624146408085225E-5</v>
      </c>
      <c r="X15" s="5">
        <f t="shared" ref="X15:AA15" si="3">($B$1 - $B$2)/($B$5 + (1 + $B$7)*X13)</f>
        <v>1.4151410192973776E-5</v>
      </c>
      <c r="Y15" s="5">
        <f t="shared" si="3"/>
        <v>1.1906744379683597E-5</v>
      </c>
      <c r="Z15" s="5">
        <f t="shared" si="3"/>
        <v>9.0391908975979774E-6</v>
      </c>
      <c r="AA15" s="5">
        <f t="shared" si="3"/>
        <v>7.2847682119205301E-6</v>
      </c>
      <c r="AC15" s="1" t="s">
        <v>3</v>
      </c>
      <c r="AD15" s="5">
        <f>($B$1 - $B$2)/($B$5 + (1 + $B$7)*AD13)</f>
        <v>1.5624146408085225E-5</v>
      </c>
      <c r="AE15" s="5">
        <f t="shared" ref="AE15:AH15" si="4">($B$1 - $B$2)/($B$5 + (1 + $B$7)*AE13)</f>
        <v>1.4151410192973776E-5</v>
      </c>
      <c r="AF15" s="5">
        <f t="shared" si="4"/>
        <v>1.1906744379683597E-5</v>
      </c>
      <c r="AG15" s="5">
        <f t="shared" si="4"/>
        <v>9.0391908975979774E-6</v>
      </c>
      <c r="AH15" s="5">
        <f t="shared" si="4"/>
        <v>7.2847682119205301E-6</v>
      </c>
    </row>
    <row r="16" spans="1:34" x14ac:dyDescent="0.45">
      <c r="A16" s="1" t="s">
        <v>5</v>
      </c>
      <c r="B16" s="3">
        <f>$B$7*B15</f>
        <v>5.9371756350723856E-3</v>
      </c>
      <c r="C16" s="3">
        <f t="shared" ref="C16:F16" si="5">$B$7*C15</f>
        <v>5.3775358733300352E-3</v>
      </c>
      <c r="D16" s="3">
        <f t="shared" si="5"/>
        <v>4.5245628642797669E-3</v>
      </c>
      <c r="E16" s="3">
        <f t="shared" si="5"/>
        <v>3.4348925410872316E-3</v>
      </c>
      <c r="F16" s="3">
        <f t="shared" si="5"/>
        <v>2.7682119205298013E-3</v>
      </c>
      <c r="H16" s="1" t="s">
        <v>5</v>
      </c>
      <c r="I16" s="3">
        <f>$B$7 *I15</f>
        <v>5.9371756350723856E-3</v>
      </c>
      <c r="J16" s="3">
        <f t="shared" ref="J16:M16" si="6">$B$7 *J15</f>
        <v>5.3775358733300352E-3</v>
      </c>
      <c r="K16" s="3">
        <f t="shared" si="6"/>
        <v>4.5245628642797669E-3</v>
      </c>
      <c r="L16" s="3">
        <f t="shared" si="6"/>
        <v>3.4348925410872316E-3</v>
      </c>
      <c r="M16" s="3">
        <f t="shared" si="6"/>
        <v>2.7682119205298013E-3</v>
      </c>
      <c r="O16" s="1" t="s">
        <v>5</v>
      </c>
      <c r="P16" s="3">
        <f>$B$7 *P15</f>
        <v>5.9371756350723856E-3</v>
      </c>
      <c r="Q16" s="3">
        <f t="shared" ref="Q16" si="7">$B$7 *Q15</f>
        <v>5.3775358733300352E-3</v>
      </c>
      <c r="R16" s="3">
        <f t="shared" ref="R16" si="8">$B$7 *R15</f>
        <v>4.5245628642797669E-3</v>
      </c>
      <c r="S16" s="3">
        <f t="shared" ref="S16" si="9">$B$7 *S15</f>
        <v>3.4348925410872316E-3</v>
      </c>
      <c r="T16" s="3">
        <f t="shared" ref="T16" si="10">$B$7 *T15</f>
        <v>2.7682119205298013E-3</v>
      </c>
      <c r="V16" s="1" t="s">
        <v>5</v>
      </c>
      <c r="W16" s="3">
        <f>$B$7 *W15</f>
        <v>5.9371756350723856E-3</v>
      </c>
      <c r="X16" s="3">
        <f t="shared" ref="X16" si="11">$B$7 *X15</f>
        <v>5.3775358733300352E-3</v>
      </c>
      <c r="Y16" s="3">
        <f t="shared" ref="Y16" si="12">$B$7 *Y15</f>
        <v>4.5245628642797669E-3</v>
      </c>
      <c r="Z16" s="3">
        <f t="shared" ref="Z16" si="13">$B$7 *Z15</f>
        <v>3.4348925410872316E-3</v>
      </c>
      <c r="AA16" s="3">
        <f t="shared" ref="AA16" si="14">$B$7 *AA15</f>
        <v>2.7682119205298013E-3</v>
      </c>
      <c r="AC16" s="1" t="s">
        <v>5</v>
      </c>
      <c r="AD16" s="3">
        <f>$B$7 *AD15</f>
        <v>5.9371756350723856E-3</v>
      </c>
      <c r="AE16" s="3">
        <f t="shared" ref="AE16" si="15">$B$7 *AE15</f>
        <v>5.3775358733300352E-3</v>
      </c>
      <c r="AF16" s="3">
        <f t="shared" ref="AF16" si="16">$B$7 *AF15</f>
        <v>4.5245628642797669E-3</v>
      </c>
      <c r="AG16" s="3">
        <f t="shared" ref="AG16" si="17">$B$7 *AG15</f>
        <v>3.4348925410872316E-3</v>
      </c>
      <c r="AH16" s="3">
        <f t="shared" ref="AH16" si="18">$B$7 *AH15</f>
        <v>2.7682119205298013E-3</v>
      </c>
    </row>
    <row r="17" spans="1:34" x14ac:dyDescent="0.45">
      <c r="A17" s="1" t="s">
        <v>6</v>
      </c>
      <c r="B17" s="3">
        <f>$B$1 - ($B$6 + B13)*B16</f>
        <v>7.5785304561595179</v>
      </c>
      <c r="C17" s="3">
        <f t="shared" ref="C17:F17" si="19">$B$1 - ($B$6 + C13)*C16</f>
        <v>6.9336961900049481</v>
      </c>
      <c r="D17" s="3">
        <f t="shared" si="19"/>
        <v>5.9508742714404654</v>
      </c>
      <c r="E17" s="3">
        <f t="shared" si="19"/>
        <v>4.6953223767383054</v>
      </c>
      <c r="F17" s="3">
        <f t="shared" si="19"/>
        <v>3.927152317880795</v>
      </c>
      <c r="H17" s="1" t="s">
        <v>6</v>
      </c>
      <c r="I17" s="3">
        <f>B1 - ($B$6 + I14)*I16</f>
        <v>2.5319311663479898</v>
      </c>
      <c r="J17" s="3">
        <f t="shared" ref="J17:M17" si="20">C1 - ($B$6 + J14)*J16</f>
        <v>-11.292825333993074</v>
      </c>
      <c r="K17" s="3">
        <f t="shared" si="20"/>
        <v>-9.5015820149875108</v>
      </c>
      <c r="L17" s="3">
        <f t="shared" si="20"/>
        <v>-7.2132743362831864</v>
      </c>
      <c r="M17" s="3">
        <f t="shared" si="20"/>
        <v>-5.8132450331125831</v>
      </c>
      <c r="O17" s="1" t="s">
        <v>6</v>
      </c>
      <c r="P17" s="3">
        <f>I1 - ($B$6 + P14)*P16</f>
        <v>-18.998962032231635</v>
      </c>
      <c r="Q17" s="3">
        <f t="shared" ref="Q17" si="21">J1 - ($B$6 + Q14)*Q16</f>
        <v>-17.208114794656112</v>
      </c>
      <c r="R17" s="3">
        <f t="shared" ref="R17" si="22">K1 - ($B$6 + R14)*R16</f>
        <v>-14.478601165695254</v>
      </c>
      <c r="S17" s="3">
        <f t="shared" ref="S17" si="23">L1 - ($B$6 + S14)*S16</f>
        <v>-10.991656131479141</v>
      </c>
      <c r="T17" s="3">
        <f t="shared" ref="T17" si="24">M1 - ($B$6 + T14)*T16</f>
        <v>-8.8582781456953636</v>
      </c>
      <c r="V17" s="1" t="s">
        <v>6</v>
      </c>
      <c r="W17" s="3">
        <f>P1 - ($B$6 + W14)*W16</f>
        <v>-25.529855230811258</v>
      </c>
      <c r="X17" s="3">
        <f t="shared" ref="X17" si="25">Q1 - ($B$6 + X14)*X16</f>
        <v>-23.123404255319151</v>
      </c>
      <c r="Y17" s="3">
        <f t="shared" ref="Y17" si="26">R1 - ($B$6 + Y14)*Y16</f>
        <v>-19.455620316402996</v>
      </c>
      <c r="Z17" s="3">
        <f t="shared" ref="Z17" si="27">S1 - ($B$6 + Z14)*Z16</f>
        <v>-14.770037926675096</v>
      </c>
      <c r="AA17" s="3">
        <f t="shared" ref="AA17" si="28">T1 - ($B$6 + AA14)*AA16</f>
        <v>-11.903311258278146</v>
      </c>
      <c r="AC17" s="1" t="s">
        <v>6</v>
      </c>
      <c r="AD17" s="3">
        <f>W1 - ($B$6 + AD14)*AD16</f>
        <v>-32.060748429390884</v>
      </c>
      <c r="AE17" s="3">
        <f t="shared" ref="AE17" si="29">X1 - ($B$6 + AE14)*AE16</f>
        <v>-29.038693715982191</v>
      </c>
      <c r="AF17" s="3">
        <f t="shared" ref="AF17" si="30">Y1 - ($B$6 + AF14)*AF16</f>
        <v>-24.432639467110739</v>
      </c>
      <c r="AG17" s="3">
        <f t="shared" ref="AG17" si="31">Z1 - ($B$6 + AG14)*AG16</f>
        <v>-18.548419721871049</v>
      </c>
      <c r="AH17" s="3">
        <f t="shared" ref="AH17" si="32">AA1 - ($B$6 + AH14)*AH16</f>
        <v>-14.948344370860926</v>
      </c>
    </row>
    <row r="18" spans="1:34" x14ac:dyDescent="0.45">
      <c r="A18" s="1" t="s">
        <v>9</v>
      </c>
      <c r="B18" s="3">
        <f>($B$6*B14)/($B$6+B14)</f>
        <v>354.83870967741933</v>
      </c>
      <c r="C18" s="3">
        <f t="shared" ref="C18:F18" si="33">($B$6*C14)/($B$6+C14)</f>
        <v>354.83870967741933</v>
      </c>
      <c r="D18" s="3">
        <f t="shared" si="33"/>
        <v>354.83870967741933</v>
      </c>
      <c r="E18" s="3">
        <f t="shared" si="33"/>
        <v>354.83870967741933</v>
      </c>
      <c r="F18" s="3">
        <f t="shared" si="33"/>
        <v>354.83870967741933</v>
      </c>
      <c r="H18" s="1" t="s">
        <v>9</v>
      </c>
      <c r="I18" s="3">
        <f>($B$6*I14)/($B$6+I14)</f>
        <v>523.80952380952385</v>
      </c>
      <c r="J18" s="3">
        <f t="shared" ref="J18:M18" si="34">($B$6*J14)/($B$6+J14)</f>
        <v>523.80952380952385</v>
      </c>
      <c r="K18" s="3">
        <f t="shared" si="34"/>
        <v>523.80952380952385</v>
      </c>
      <c r="L18" s="3">
        <f t="shared" si="34"/>
        <v>523.80952380952385</v>
      </c>
      <c r="M18" s="3">
        <f t="shared" si="34"/>
        <v>523.80952380952385</v>
      </c>
      <c r="O18" s="1" t="s">
        <v>9</v>
      </c>
      <c r="P18" s="3">
        <f>($B$6*P14)/($B$6+P14)</f>
        <v>687.5</v>
      </c>
      <c r="Q18" s="3">
        <f t="shared" ref="Q18:T18" si="35">($B$6*Q14)/($B$6+Q14)</f>
        <v>687.5</v>
      </c>
      <c r="R18" s="3">
        <f t="shared" si="35"/>
        <v>687.5</v>
      </c>
      <c r="S18" s="3">
        <f t="shared" si="35"/>
        <v>687.5</v>
      </c>
      <c r="T18" s="3">
        <f t="shared" si="35"/>
        <v>687.5</v>
      </c>
      <c r="V18" s="1" t="s">
        <v>9</v>
      </c>
      <c r="W18" s="3">
        <f>($B$6*W14)/($B$6+W14)</f>
        <v>767.44186046511629</v>
      </c>
      <c r="X18" s="3">
        <f t="shared" ref="X18:AA18" si="36">($B$6*X14)/($B$6+X14)</f>
        <v>767.44186046511629</v>
      </c>
      <c r="Y18" s="3">
        <f t="shared" si="36"/>
        <v>767.44186046511629</v>
      </c>
      <c r="Z18" s="3">
        <f t="shared" si="36"/>
        <v>767.44186046511629</v>
      </c>
      <c r="AA18" s="3">
        <f t="shared" si="36"/>
        <v>767.44186046511629</v>
      </c>
      <c r="AC18" s="1" t="s">
        <v>9</v>
      </c>
      <c r="AD18" s="3">
        <f>($B$6*AD14)/($B$6+AD14)</f>
        <v>814.81481481481478</v>
      </c>
      <c r="AE18" s="3">
        <f t="shared" ref="AE18:AH18" si="37">($B$6*AE14)/($B$6+AE14)</f>
        <v>814.81481481481478</v>
      </c>
      <c r="AF18" s="3">
        <f t="shared" si="37"/>
        <v>814.81481481481478</v>
      </c>
      <c r="AG18" s="3">
        <f t="shared" si="37"/>
        <v>814.81481481481478</v>
      </c>
      <c r="AH18" s="3">
        <f t="shared" si="37"/>
        <v>814.81481481481478</v>
      </c>
    </row>
    <row r="19" spans="1:34" x14ac:dyDescent="0.45">
      <c r="A19" s="1" t="s">
        <v>13</v>
      </c>
      <c r="B19" s="3">
        <f>$B$4/B15</f>
        <v>1600.0874125874125</v>
      </c>
      <c r="C19" s="3">
        <f t="shared" ref="C19:F19" si="38">$B$4/C15</f>
        <v>1766.6083916083917</v>
      </c>
      <c r="D19" s="3">
        <f t="shared" si="38"/>
        <v>2099.6503496503497</v>
      </c>
      <c r="E19" s="3">
        <f t="shared" si="38"/>
        <v>2765.734265734266</v>
      </c>
      <c r="F19" s="3">
        <f t="shared" si="38"/>
        <v>3431.818181818182</v>
      </c>
      <c r="H19" s="1" t="s">
        <v>13</v>
      </c>
      <c r="I19" s="3">
        <f>$B$4/I15</f>
        <v>1600.0874125874125</v>
      </c>
      <c r="J19" s="3">
        <f t="shared" ref="J19:M19" si="39">$B$4/J15</f>
        <v>1766.6083916083917</v>
      </c>
      <c r="K19" s="3">
        <f t="shared" si="39"/>
        <v>2099.6503496503497</v>
      </c>
      <c r="L19" s="3">
        <f t="shared" si="39"/>
        <v>2765.734265734266</v>
      </c>
      <c r="M19" s="3">
        <f t="shared" si="39"/>
        <v>3431.818181818182</v>
      </c>
      <c r="O19" s="1" t="s">
        <v>13</v>
      </c>
      <c r="P19" s="3">
        <f>$B$4/P15</f>
        <v>1600.0874125874125</v>
      </c>
      <c r="Q19" s="3">
        <f t="shared" ref="Q19:T19" si="40">$B$4/Q15</f>
        <v>1766.6083916083917</v>
      </c>
      <c r="R19" s="3">
        <f t="shared" si="40"/>
        <v>2099.6503496503497</v>
      </c>
      <c r="S19" s="3">
        <f t="shared" si="40"/>
        <v>2765.734265734266</v>
      </c>
      <c r="T19" s="3">
        <f t="shared" si="40"/>
        <v>3431.818181818182</v>
      </c>
      <c r="V19" s="1" t="s">
        <v>13</v>
      </c>
      <c r="W19" s="3">
        <f>$B$4/W15</f>
        <v>1600.0874125874125</v>
      </c>
      <c r="X19" s="3">
        <f t="shared" ref="X19:AA19" si="41">$B$4/X15</f>
        <v>1766.6083916083917</v>
      </c>
      <c r="Y19" s="3">
        <f t="shared" si="41"/>
        <v>2099.6503496503497</v>
      </c>
      <c r="Z19" s="3">
        <f t="shared" si="41"/>
        <v>2765.734265734266</v>
      </c>
      <c r="AA19" s="3">
        <f t="shared" si="41"/>
        <v>3431.818181818182</v>
      </c>
      <c r="AC19" s="1" t="s">
        <v>13</v>
      </c>
      <c r="AD19" s="3">
        <f>$B$4/AD15</f>
        <v>1600.0874125874125</v>
      </c>
      <c r="AE19" s="3">
        <f t="shared" ref="AE19:AH19" si="42">$B$4/AE15</f>
        <v>1766.6083916083917</v>
      </c>
      <c r="AF19" s="3">
        <f t="shared" si="42"/>
        <v>2099.6503496503497</v>
      </c>
      <c r="AG19" s="3">
        <f t="shared" si="42"/>
        <v>2765.734265734266</v>
      </c>
      <c r="AH19" s="3">
        <f t="shared" si="42"/>
        <v>3431.818181818182</v>
      </c>
    </row>
    <row r="20" spans="1:34" x14ac:dyDescent="0.45">
      <c r="A20" s="1" t="s">
        <v>8</v>
      </c>
      <c r="B20" s="3">
        <f>-$B$7*(B18/(B19 + (1 + $B$7)*B13))</f>
        <v>-1.3922414866080404</v>
      </c>
      <c r="C20" s="3">
        <f t="shared" ref="C20:F20" si="43">-$B$7*(C18/(C19 + (1 + $B$7)*C13))</f>
        <v>-0.70131111587915473</v>
      </c>
      <c r="D20" s="3">
        <f t="shared" si="43"/>
        <v>-0.35196771794062903</v>
      </c>
      <c r="E20" s="3">
        <f t="shared" si="43"/>
        <v>-0.1763137437203309</v>
      </c>
      <c r="F20" s="3">
        <f t="shared" si="43"/>
        <v>-0.11761598687243921</v>
      </c>
      <c r="H20" s="1" t="s">
        <v>8</v>
      </c>
      <c r="I20" s="3">
        <f>-$B$7*(I18/(I19 + (1+$B$7)*I13))</f>
        <v>-2.05521362308806</v>
      </c>
      <c r="J20" s="3">
        <f t="shared" ref="J20:M20" si="44">-$B$7*(J18/(J19 + (1+$B$7)*J13))</f>
        <v>-1.0352687901073239</v>
      </c>
      <c r="K20" s="3">
        <f t="shared" si="44"/>
        <v>-0.51957139315045253</v>
      </c>
      <c r="L20" s="3">
        <f t="shared" si="44"/>
        <v>-0.26027266930144088</v>
      </c>
      <c r="M20" s="3">
        <f t="shared" si="44"/>
        <v>-0.17362359966883886</v>
      </c>
      <c r="O20" s="1" t="s">
        <v>8</v>
      </c>
      <c r="P20" s="3">
        <f>-$B$7*(P18/(P19 + (1+$B$7)*P13))</f>
        <v>-2.697467880303078</v>
      </c>
      <c r="Q20" s="3">
        <f t="shared" ref="Q20" si="45">-$B$7*(Q18/(Q19 + (1+$B$7)*Q13))</f>
        <v>-1.3587902870158624</v>
      </c>
      <c r="R20" s="3">
        <f t="shared" ref="R20" si="46">-$B$7*(R18/(R19 + (1+$B$7)*R13))</f>
        <v>-0.68193745350996882</v>
      </c>
      <c r="S20" s="3">
        <f t="shared" ref="S20" si="47">-$B$7*(S18/(S19 + (1+$B$7)*S13))</f>
        <v>-0.34160787845814111</v>
      </c>
      <c r="T20" s="3">
        <f t="shared" ref="T20" si="48">-$B$7*(T18/(T19 + (1+$B$7)*T13))</f>
        <v>-0.227880974565351</v>
      </c>
      <c r="V20" s="1" t="s">
        <v>8</v>
      </c>
      <c r="W20" s="3">
        <f>-$B$7*(W18/(W19 + (1+$B$7)*W13))</f>
        <v>-3.011126936152273</v>
      </c>
      <c r="X20" s="3">
        <f t="shared" ref="X20" si="49">-$B$7*(X18/(X19 + (1+$B$7)*X13))</f>
        <v>-1.5167891575991022</v>
      </c>
      <c r="Y20" s="3">
        <f t="shared" ref="Y20" si="50">-$B$7*(Y18/(Y19 + (1+$B$7)*Y13))</f>
        <v>-0.76123250624368621</v>
      </c>
      <c r="Z20" s="3">
        <f t="shared" ref="Z20" si="51">-$B$7*(Z18/(Z19 + (1+$B$7)*Z13))</f>
        <v>-0.3813297247904831</v>
      </c>
      <c r="AA20" s="3">
        <f t="shared" ref="AA20" si="52">-$B$7*(AA18/(AA19 + (1+$B$7)*AA13))</f>
        <v>-0.2543787623055081</v>
      </c>
      <c r="AC20" s="1" t="s">
        <v>8</v>
      </c>
      <c r="AD20" s="3">
        <f>-$B$7*(AD18/(AD19 + (1+$B$7)*AD13))</f>
        <v>-3.1969989692480922</v>
      </c>
      <c r="AE20" s="3">
        <f t="shared" ref="AE20" si="53">-$B$7*(AE18/(AE19 + (1+$B$7)*AE13))</f>
        <v>-1.6104181179447259</v>
      </c>
      <c r="AF20" s="3">
        <f t="shared" ref="AF20" si="54">-$B$7*(AF18/(AF19 + (1+$B$7)*AF13))</f>
        <v>-0.80822216712292594</v>
      </c>
      <c r="AG20" s="3">
        <f t="shared" ref="AG20" si="55">-$B$7*(AG18/(AG19 + (1+$B$7)*AG13))</f>
        <v>-0.40486859669113018</v>
      </c>
      <c r="AH20" s="3">
        <f t="shared" ref="AH20" si="56">-$B$7*(AH18/(AH19 + (1+$B$7)*AH13))</f>
        <v>-0.27008115504041597</v>
      </c>
    </row>
    <row r="21" spans="1:34" x14ac:dyDescent="0.45">
      <c r="A21" s="1" t="s">
        <v>34</v>
      </c>
      <c r="B21" s="3">
        <f>(B16*(B18 + B13))/SQRT(2)</f>
        <v>2.5392442455575988</v>
      </c>
      <c r="C21" s="3">
        <f t="shared" ref="C21:F21" si="57">(C16*(C18 + C13))/SQRT(2)</f>
        <v>3.2505174250257465</v>
      </c>
      <c r="D21" s="3">
        <f t="shared" si="57"/>
        <v>4.3346019837405212</v>
      </c>
      <c r="E21" s="3">
        <f t="shared" si="57"/>
        <v>5.7195165811884117</v>
      </c>
      <c r="F21" s="3">
        <f t="shared" si="57"/>
        <v>6.5668331535444553</v>
      </c>
      <c r="H21" s="1" t="s">
        <v>36</v>
      </c>
      <c r="I21" s="3">
        <f>I16*(I13+I18)</f>
        <v>4.5942430509488696</v>
      </c>
      <c r="J21" s="3">
        <f t="shared" ref="J21:M21" si="58">J16*(J13+J18)</f>
        <v>5.5055724417426557</v>
      </c>
      <c r="K21" s="3">
        <f t="shared" si="58"/>
        <v>6.8945719836644068</v>
      </c>
      <c r="L21" s="3">
        <f t="shared" si="58"/>
        <v>8.6690145084582522</v>
      </c>
      <c r="M21" s="3">
        <f t="shared" si="58"/>
        <v>9.754651529485967</v>
      </c>
      <c r="O21" s="1" t="s">
        <v>36</v>
      </c>
      <c r="P21" s="3">
        <f>P16*(P18+P13)</f>
        <v>5.5661021578803611</v>
      </c>
      <c r="Q21" s="3">
        <f>Q16*(Q18+Q13)</f>
        <v>6.3858238495794168</v>
      </c>
      <c r="R21" s="3">
        <f>R16*(R18+R13)</f>
        <v>7.6351998334721065</v>
      </c>
      <c r="S21" s="3">
        <f>S16*(S18+S13)</f>
        <v>9.2312737041719348</v>
      </c>
      <c r="T21" s="3">
        <f>T16*(T18+T13)</f>
        <v>10.207781456953642</v>
      </c>
      <c r="V21" s="1" t="s">
        <v>36</v>
      </c>
      <c r="W21" s="3">
        <f>W16*(W18+W13)</f>
        <v>6.040731024056206</v>
      </c>
      <c r="X21" s="3">
        <f>X16*(X18+X13)</f>
        <v>6.8157140720113247</v>
      </c>
      <c r="Y21" s="3">
        <f>Y16*(Y18+Y13)</f>
        <v>7.996901806634007</v>
      </c>
      <c r="Z21" s="3">
        <f>Z16*(Z18+Z13)</f>
        <v>9.505865404404199</v>
      </c>
      <c r="AA21" s="3">
        <f>AA16*(AA18+AA13)</f>
        <v>10.429077468042507</v>
      </c>
      <c r="AC21" s="1" t="s">
        <v>36</v>
      </c>
      <c r="AD21" s="3">
        <f>AD16*(AD18+AD13)</f>
        <v>6.3219925743826328</v>
      </c>
      <c r="AE21" s="3">
        <f>AE16*(AE18+AE13)</f>
        <v>7.0704638334524539</v>
      </c>
      <c r="AF21" s="3">
        <f>AF16*(AF18+AF13)</f>
        <v>8.2112437166558738</v>
      </c>
      <c r="AG21" s="3">
        <f>AG16*(AG18+AG13)</f>
        <v>9.668586411949244</v>
      </c>
      <c r="AH21" s="3">
        <f>AH16*(AH18+AH13)</f>
        <v>10.560215844984057</v>
      </c>
    </row>
    <row r="22" spans="1:34" x14ac:dyDescent="0.45">
      <c r="A22" s="7" t="s">
        <v>37</v>
      </c>
      <c r="B22" s="8">
        <f>(B18/(B18+B13))*B21</f>
        <v>1.4896899573937912</v>
      </c>
      <c r="C22" s="8">
        <f t="shared" ref="C22:F22" si="59">(C18/(C18+C13))*C21</f>
        <v>1.3492713839729513</v>
      </c>
      <c r="D22" s="8">
        <f t="shared" si="59"/>
        <v>1.1352529005034699</v>
      </c>
      <c r="E22" s="8">
        <f t="shared" si="59"/>
        <v>0.86184496428866475</v>
      </c>
      <c r="F22" s="8">
        <f t="shared" si="59"/>
        <v>0.69456889124027887</v>
      </c>
      <c r="H22" s="7" t="s">
        <v>38</v>
      </c>
      <c r="I22" s="8">
        <f>(B18/(B18+B13))*B21</f>
        <v>1.4896899573937912</v>
      </c>
      <c r="J22" s="8">
        <f t="shared" ref="J22:M22" si="60">(C18/(C18+C13))*C21</f>
        <v>1.3492713839729513</v>
      </c>
      <c r="K22" s="8">
        <f t="shared" si="60"/>
        <v>1.1352529005034699</v>
      </c>
      <c r="L22" s="8">
        <f t="shared" si="60"/>
        <v>0.86184496428866475</v>
      </c>
      <c r="M22" s="8">
        <f t="shared" si="60"/>
        <v>0.69456889124027887</v>
      </c>
      <c r="O22" s="7" t="s">
        <v>38</v>
      </c>
      <c r="P22" s="8">
        <f>(P18/(P18+P13))*P21</f>
        <v>4.0818082491122647</v>
      </c>
      <c r="Q22" s="8">
        <f t="shared" ref="Q22:T22" si="61">(Q18/(Q18+Q13))*Q21</f>
        <v>3.6970559129143994</v>
      </c>
      <c r="R22" s="8">
        <f t="shared" si="61"/>
        <v>3.1106369691923397</v>
      </c>
      <c r="S22" s="8">
        <f t="shared" si="61"/>
        <v>2.3614886219974718</v>
      </c>
      <c r="T22" s="8">
        <f t="shared" si="61"/>
        <v>1.9031456953642383</v>
      </c>
      <c r="V22" s="7" t="s">
        <v>38</v>
      </c>
      <c r="W22" s="8">
        <f>(W18/(W18+W13))*W21</f>
        <v>4.5564371152881096</v>
      </c>
      <c r="X22" s="8">
        <f t="shared" ref="X22:AA22" si="62">(X18/(X18+X13))*X21</f>
        <v>4.1269461353463059</v>
      </c>
      <c r="Y22" s="8">
        <f t="shared" si="62"/>
        <v>3.4723389423542397</v>
      </c>
      <c r="Z22" s="8">
        <f t="shared" si="62"/>
        <v>2.636080322229736</v>
      </c>
      <c r="AA22" s="8">
        <f t="shared" si="62"/>
        <v>2.1244417064531032</v>
      </c>
      <c r="AC22" s="7" t="s">
        <v>38</v>
      </c>
      <c r="AD22" s="8">
        <f>(AD18/(AD18+AD13))*AD21</f>
        <v>4.8376986656145364</v>
      </c>
      <c r="AE22" s="8">
        <f t="shared" ref="AE22:AH22" si="63">(AE18/(AE18+AE13))*AE21</f>
        <v>4.381695896787436</v>
      </c>
      <c r="AF22" s="8">
        <f t="shared" si="63"/>
        <v>3.6866808523761065</v>
      </c>
      <c r="AG22" s="8">
        <f t="shared" si="63"/>
        <v>2.7988013297747814</v>
      </c>
      <c r="AH22" s="8">
        <f t="shared" si="63"/>
        <v>2.2555800833946531</v>
      </c>
    </row>
    <row r="23" spans="1:34" x14ac:dyDescent="0.45">
      <c r="A23" s="1" t="s">
        <v>35</v>
      </c>
      <c r="B23" s="3">
        <f>ABS(B20)*$B$3</f>
        <v>8.6318972169698505</v>
      </c>
      <c r="C23" s="3">
        <f>ABS(C20)*$B$3</f>
        <v>4.3481289184507599</v>
      </c>
      <c r="D23" s="3">
        <f>ABS(D20)*$B$3</f>
        <v>2.1821998512318999</v>
      </c>
      <c r="E23" s="3">
        <f>ABS(E20)*$B$3</f>
        <v>1.0931452110660516</v>
      </c>
      <c r="F23" s="3">
        <f>ABS(F20)*$B$3</f>
        <v>0.72921911860912314</v>
      </c>
      <c r="H23" s="1" t="s">
        <v>35</v>
      </c>
      <c r="I23" s="3">
        <f>ABS(I20)*$B$3</f>
        <v>12.742324463145973</v>
      </c>
      <c r="J23" s="3">
        <f>ABS(J20)*$B$3</f>
        <v>6.4186664986654085</v>
      </c>
      <c r="K23" s="3">
        <f>ABS(K20)*$B$3</f>
        <v>3.2213426375328056</v>
      </c>
      <c r="L23" s="3">
        <f>ABS(L20)*$B$3</f>
        <v>1.6136905496689335</v>
      </c>
      <c r="M23" s="3">
        <f>ABS(M20)*$B$3</f>
        <v>1.076466317946801</v>
      </c>
      <c r="O23" s="1" t="s">
        <v>39</v>
      </c>
      <c r="P23" s="3">
        <f>ABS(P20)*$B$3</f>
        <v>16.724300857879083</v>
      </c>
      <c r="Q23" s="3">
        <f>ABS(Q20)*$B$3</f>
        <v>8.4244997794983476</v>
      </c>
      <c r="R23" s="3">
        <f>ABS(R20)*$B$3</f>
        <v>4.2280122117618069</v>
      </c>
      <c r="S23" s="3">
        <f>ABS(S20)*$B$3</f>
        <v>2.1179688464404749</v>
      </c>
      <c r="T23" s="3">
        <f>ABS(T20)*$B$3</f>
        <v>1.4128620423051763</v>
      </c>
      <c r="V23" s="1" t="s">
        <v>35</v>
      </c>
      <c r="W23" s="3">
        <f>ABS(W20)*$B$3</f>
        <v>18.668987004144093</v>
      </c>
      <c r="X23" s="3">
        <f>ABS(X20)*$B$3</f>
        <v>9.4040927771144336</v>
      </c>
      <c r="Y23" s="3">
        <f>ABS(Y20)*$B$3</f>
        <v>4.7196415387108548</v>
      </c>
      <c r="Z23" s="3">
        <f>ABS(Z20)*$B$3</f>
        <v>2.3642442937009953</v>
      </c>
      <c r="AA23" s="3">
        <f>ABS(AA20)*$B$3</f>
        <v>1.5771483262941504</v>
      </c>
      <c r="AC23" s="1" t="s">
        <v>35</v>
      </c>
      <c r="AD23" s="3">
        <f>ABS(AD20)*$B$3</f>
        <v>19.821393609338173</v>
      </c>
      <c r="AE23" s="3">
        <f>ABS(AE20)*$B$3</f>
        <v>9.9845923312572999</v>
      </c>
      <c r="AF23" s="3">
        <f>ABS(AF20)*$B$3</f>
        <v>5.0109774361621406</v>
      </c>
      <c r="AG23" s="3">
        <f>ABS(AG20)*$B$3</f>
        <v>2.5101852994850073</v>
      </c>
      <c r="AH23" s="3">
        <f>ABS(AH20)*$B$3</f>
        <v>1.674503161250579</v>
      </c>
    </row>
    <row r="24" spans="1:34" x14ac:dyDescent="0.45">
      <c r="A24" s="1" t="s">
        <v>21</v>
      </c>
      <c r="B24" s="3">
        <f>$B$1*B16</f>
        <v>8.9057634526085783E-2</v>
      </c>
      <c r="C24" s="3">
        <f>$B$1*C16</f>
        <v>8.0663038099950526E-2</v>
      </c>
      <c r="D24" s="3">
        <f>$B$1*D16</f>
        <v>6.7868442964196501E-2</v>
      </c>
      <c r="E24" s="3">
        <f>$B$1*E16</f>
        <v>5.1523388116308473E-2</v>
      </c>
      <c r="F24" s="3">
        <f>$B$1*F16</f>
        <v>4.1523178807947023E-2</v>
      </c>
      <c r="H24" s="1" t="s">
        <v>21</v>
      </c>
      <c r="I24" s="3">
        <f>$B$1*I16</f>
        <v>8.9057634526085783E-2</v>
      </c>
      <c r="J24" s="3">
        <f>$B$1*J16</f>
        <v>8.0663038099950526E-2</v>
      </c>
      <c r="K24" s="3">
        <f>$B$1*K16</f>
        <v>6.7868442964196501E-2</v>
      </c>
      <c r="L24" s="3">
        <f>$B$1*L16</f>
        <v>5.1523388116308473E-2</v>
      </c>
      <c r="M24" s="3">
        <f>$B$1*M16</f>
        <v>4.1523178807947023E-2</v>
      </c>
      <c r="O24" s="1" t="s">
        <v>21</v>
      </c>
      <c r="P24" s="3">
        <f>$B$1*P16</f>
        <v>8.9057634526085783E-2</v>
      </c>
      <c r="Q24" s="3">
        <f>$B$1*Q16</f>
        <v>8.0663038099950526E-2</v>
      </c>
      <c r="R24" s="3">
        <f>$B$1*R16</f>
        <v>6.7868442964196501E-2</v>
      </c>
      <c r="S24" s="3">
        <f>$B$1*S16</f>
        <v>5.1523388116308473E-2</v>
      </c>
      <c r="T24" s="3">
        <f>$B$1*T16</f>
        <v>4.1523178807947023E-2</v>
      </c>
      <c r="V24" s="1" t="s">
        <v>21</v>
      </c>
      <c r="W24" s="3">
        <f>$B$1*W16</f>
        <v>8.9057634526085783E-2</v>
      </c>
      <c r="X24" s="3">
        <f>$B$1*X16</f>
        <v>8.0663038099950526E-2</v>
      </c>
      <c r="Y24" s="3">
        <f>$B$1*Y16</f>
        <v>6.7868442964196501E-2</v>
      </c>
      <c r="Z24" s="3">
        <f>$B$1*Z16</f>
        <v>5.1523388116308473E-2</v>
      </c>
      <c r="AA24" s="3">
        <f>$B$1*AA16</f>
        <v>4.1523178807947023E-2</v>
      </c>
      <c r="AC24" s="1" t="s">
        <v>21</v>
      </c>
      <c r="AD24" s="3">
        <f>$B$1*AD16</f>
        <v>8.9057634526085783E-2</v>
      </c>
      <c r="AE24" s="3">
        <f>$B$1*AE16</f>
        <v>8.0663038099950526E-2</v>
      </c>
      <c r="AF24" s="3">
        <f>$B$1*AF16</f>
        <v>6.7868442964196501E-2</v>
      </c>
      <c r="AG24" s="3">
        <f>$B$1*AG16</f>
        <v>5.1523388116308473E-2</v>
      </c>
      <c r="AH24" s="3">
        <f>$B$1*AH16</f>
        <v>4.1523178807947023E-2</v>
      </c>
    </row>
    <row r="25" spans="1:34" x14ac:dyDescent="0.45">
      <c r="A25" s="1" t="s">
        <v>22</v>
      </c>
      <c r="B25" s="3">
        <f>B37^2/(2*B14)</f>
        <v>2.5148402370743155E-2</v>
      </c>
      <c r="C25" s="3">
        <f>C37^2/(2*C14)</f>
        <v>8.2860325619220007E-3</v>
      </c>
      <c r="D25" s="3">
        <f>D37^2/(2*D14)</f>
        <v>2.8795643385308221E-3</v>
      </c>
      <c r="E25" s="3">
        <f>E37^2/(2*E14)</f>
        <v>9.6698809776396631E-4</v>
      </c>
      <c r="F25" s="3">
        <f>F37^2/(2*F14)</f>
        <v>4.7746934109554976E-4</v>
      </c>
      <c r="H25" s="1" t="s">
        <v>22</v>
      </c>
      <c r="I25" s="3">
        <f>I37^2/(2*B14)</f>
        <v>4.8676190117013372E-2</v>
      </c>
      <c r="J25" s="3">
        <f>J37^2/(2*C14)</f>
        <v>1.4999395610056697E-2</v>
      </c>
      <c r="K25" s="3">
        <f>K37^2/(2*D14)</f>
        <v>4.8852644717170121E-3</v>
      </c>
      <c r="L25" s="3">
        <f>L37^2/(2*E14)</f>
        <v>1.6036929571461246E-3</v>
      </c>
      <c r="M25" s="3">
        <f>M37^2/(2*F14)</f>
        <v>8.1605718842031952E-4</v>
      </c>
      <c r="O25" s="1" t="s">
        <v>22</v>
      </c>
      <c r="P25" s="3">
        <f>P37^2/(2*P14)</f>
        <v>2.7174351946821728E-2</v>
      </c>
      <c r="Q25" s="3">
        <f>Q37^2/(2*Q14)</f>
        <v>9.5667771786458154E-3</v>
      </c>
      <c r="R25" s="3">
        <f>R37^2/(2*R14)</f>
        <v>3.4519380552862668E-3</v>
      </c>
      <c r="S25" s="3">
        <f>S37^2/(2*S14)</f>
        <v>1.0194981896573627E-3</v>
      </c>
      <c r="T25" s="3">
        <f>T37^2/(2*T14)</f>
        <v>4.5367707967880786E-4</v>
      </c>
      <c r="V25" s="1" t="s">
        <v>22</v>
      </c>
      <c r="W25" s="3">
        <f>W37^2/(W14*2)</f>
        <v>2.2617533240932592E-2</v>
      </c>
      <c r="X25" s="3">
        <f>X36^2/(X14*2)</f>
        <v>8.2320046957285397E-4</v>
      </c>
      <c r="Y25" s="3">
        <f>Y36^2/(Y14*2)</f>
        <v>3.7384865155641508E-4</v>
      </c>
      <c r="Z25" s="3">
        <f>Z36^2/(Z14*2)</f>
        <v>3.7384865155641508E-4</v>
      </c>
      <c r="AA25" s="3">
        <f>AA36^2/(AA14*2)</f>
        <v>3.7384865155641508E-4</v>
      </c>
      <c r="AC25" s="1" t="s">
        <v>22</v>
      </c>
      <c r="AD25" s="3">
        <f>AD37^2/(2*AD14)</f>
        <v>1.9085415907781521E-2</v>
      </c>
      <c r="AE25" s="3">
        <f>AE37^2/(2*AE14)</f>
        <v>6.7190533819844397E-3</v>
      </c>
      <c r="AF25" s="3">
        <f>AF37^2/(2*AF14)</f>
        <v>2.4244064256605876E-3</v>
      </c>
      <c r="AG25" s="3">
        <f>AG37^2/(2*AG14)</f>
        <v>7.1602616338075405E-4</v>
      </c>
      <c r="AH25" s="3">
        <f>AH37^2/(2*AH14)</f>
        <v>3.1863191329979342E-4</v>
      </c>
    </row>
    <row r="26" spans="1:34" x14ac:dyDescent="0.45">
      <c r="A26" s="1" t="s">
        <v>20</v>
      </c>
      <c r="B26" s="3">
        <f>(B25/B24)*100</f>
        <v>28.238345319375131</v>
      </c>
      <c r="C26" s="3">
        <f t="shared" ref="C26:F26" si="64">(C25/C24)*100</f>
        <v>10.27240326809248</v>
      </c>
      <c r="D26" s="3">
        <f t="shared" si="64"/>
        <v>4.2428619440259077</v>
      </c>
      <c r="E26" s="3">
        <f t="shared" si="64"/>
        <v>1.8767944677494719</v>
      </c>
      <c r="F26" s="3">
        <f t="shared" si="64"/>
        <v>1.1498862919525998</v>
      </c>
      <c r="H26" s="1" t="s">
        <v>20</v>
      </c>
      <c r="I26" s="3">
        <f>(I25/I24)*100</f>
        <v>54.656953753645546</v>
      </c>
      <c r="J26" s="3">
        <f t="shared" ref="J26:M26" si="65">(J25/J24)*100</f>
        <v>18.595128528968583</v>
      </c>
      <c r="K26" s="3">
        <f t="shared" si="65"/>
        <v>7.1981384253860039</v>
      </c>
      <c r="L26" s="3">
        <f t="shared" si="65"/>
        <v>3.1125533777514036</v>
      </c>
      <c r="M26" s="3">
        <f t="shared" si="65"/>
        <v>1.9653051906135286</v>
      </c>
      <c r="O26" s="1" t="s">
        <v>20</v>
      </c>
      <c r="P26" s="3">
        <f>(P25/P24)*100</f>
        <v>30.51321999672259</v>
      </c>
      <c r="Q26" s="3">
        <f>(Q25/Q24)*100</f>
        <v>11.860174627679543</v>
      </c>
      <c r="R26" s="3">
        <f>(R25/R24)*100</f>
        <v>5.0862196103530932</v>
      </c>
      <c r="S26" s="3">
        <f>(S25/S24)*100</f>
        <v>1.9787095277118731</v>
      </c>
      <c r="T26" s="3">
        <f>(T25/T24)*100</f>
        <v>1.0925875443620412</v>
      </c>
      <c r="V26" s="1" t="s">
        <v>20</v>
      </c>
      <c r="W26" s="2">
        <f>(W25/W24)*100</f>
        <v>25.396512450942893</v>
      </c>
      <c r="X26" s="2">
        <f>(X25/X24)*100</f>
        <v>1.0205423561567524</v>
      </c>
      <c r="Y26" s="2">
        <f>(Y25/Y24)*100</f>
        <v>0.55084312418016756</v>
      </c>
      <c r="Z26" s="2">
        <f>(Z25/Z24)*100</f>
        <v>0.72559019354956278</v>
      </c>
      <c r="AA26" s="2">
        <f>(AA25/AA24)*100</f>
        <v>0.9003372629189581</v>
      </c>
      <c r="AC26" s="1" t="s">
        <v>20</v>
      </c>
      <c r="AD26" s="3">
        <f>(AD25/AD24)*100</f>
        <v>21.430409654762649</v>
      </c>
      <c r="AE26" s="3">
        <f>(AE25/AE24)*100</f>
        <v>8.3297797110725984</v>
      </c>
      <c r="AF26" s="3">
        <f>(AF25/AF24)*100</f>
        <v>3.5722145960230227</v>
      </c>
      <c r="AG26" s="3">
        <f>(AG25/AG24)*100</f>
        <v>1.389710944017118</v>
      </c>
      <c r="AH26" s="3">
        <f>(AH25/AH24)*100</f>
        <v>0.76735915324192672</v>
      </c>
    </row>
    <row r="35" spans="1:34" x14ac:dyDescent="0.45">
      <c r="A35" s="1" t="s">
        <v>23</v>
      </c>
      <c r="B35" s="6">
        <f>IF(B22&gt;=B23, PI()/2, ASIN(B22/B23))</f>
        <v>0.1734480357768447</v>
      </c>
      <c r="C35" s="6">
        <f t="shared" ref="C35:F35" si="66">IF(C22&gt;=C23, PI()/2, ASIN(C22/C23))</f>
        <v>0.31551995933784865</v>
      </c>
      <c r="D35" s="6">
        <f t="shared" si="66"/>
        <v>0.54712403583483538</v>
      </c>
      <c r="E35" s="6">
        <f t="shared" si="66"/>
        <v>0.90821750802412904</v>
      </c>
      <c r="F35" s="6">
        <f t="shared" si="66"/>
        <v>1.2612868914214488</v>
      </c>
      <c r="H35" s="1" t="s">
        <v>23</v>
      </c>
      <c r="I35" s="6">
        <f>IF(I22&gt;=I23, PI()/2, ASIN(I22/I23))</f>
        <v>0.11717677067852819</v>
      </c>
      <c r="J35" s="6">
        <f t="shared" ref="J35:M35" si="67">IF(J22&gt;=J23, PI()/2, ASIN(J22/J23))</f>
        <v>0.21179031185634339</v>
      </c>
      <c r="K35" s="6">
        <f t="shared" si="67"/>
        <v>0.36015155203125038</v>
      </c>
      <c r="L35" s="6">
        <f t="shared" si="67"/>
        <v>0.5634229237146352</v>
      </c>
      <c r="M35" s="6">
        <f t="shared" si="67"/>
        <v>0.70132493979409005</v>
      </c>
      <c r="O35" s="1" t="s">
        <v>23</v>
      </c>
      <c r="P35" s="6">
        <f>IF(P22&gt;=P23, PI()/2, ASIN(P22/P23))</f>
        <v>0.24655491013270536</v>
      </c>
      <c r="Q35" s="6">
        <f t="shared" ref="Q35:T35" si="68">IF(Q22&gt;=Q23, PI()/2, ASIN(Q22/Q23))</f>
        <v>0.45431371653269953</v>
      </c>
      <c r="R35" s="6">
        <f t="shared" si="68"/>
        <v>0.82673047044404724</v>
      </c>
      <c r="S35" s="6">
        <f t="shared" si="68"/>
        <v>1.5707963267948966</v>
      </c>
      <c r="T35" s="6">
        <f t="shared" si="68"/>
        <v>1.5707963267948966</v>
      </c>
      <c r="V35" s="1" t="s">
        <v>23</v>
      </c>
      <c r="W35" s="6">
        <f>IF(W21&gt;=W23, PI()/2, ASIN(W21/W23))</f>
        <v>0.32950042571427562</v>
      </c>
      <c r="X35" s="6">
        <f t="shared" ref="X35:AA35" si="69">IF(X21&gt;=X23, PI()/2, ASIN(X21/X23))</f>
        <v>0.81068658530200444</v>
      </c>
      <c r="Y35" s="6">
        <f t="shared" si="69"/>
        <v>1.5707963267948966</v>
      </c>
      <c r="Z35" s="6">
        <f t="shared" si="69"/>
        <v>1.5707963267948966</v>
      </c>
      <c r="AA35" s="6">
        <f t="shared" si="69"/>
        <v>1.5707963267948966</v>
      </c>
      <c r="AC35" s="1" t="s">
        <v>23</v>
      </c>
      <c r="AD35" s="6">
        <f>IF(AD22&gt;=AD23, PI()/2, ASIN(AD22/AD23))</f>
        <v>0.24655491013270536</v>
      </c>
      <c r="AE35" s="6">
        <f t="shared" ref="AE35:AH35" si="70">IF(AE22&gt;=AE23, PI()/2, ASIN(AE22/AE23))</f>
        <v>0.45431371653269953</v>
      </c>
      <c r="AF35" s="6">
        <f t="shared" si="70"/>
        <v>0.82673047044404757</v>
      </c>
      <c r="AG35" s="6">
        <f t="shared" si="70"/>
        <v>1.5707963267948966</v>
      </c>
      <c r="AH35" s="6">
        <f t="shared" si="70"/>
        <v>1.5707963267948966</v>
      </c>
    </row>
    <row r="36" spans="1:34" x14ac:dyDescent="0.45">
      <c r="A36" s="1" t="s">
        <v>24</v>
      </c>
      <c r="B36" s="6">
        <f>PI() - B35</f>
        <v>2.9681446178129485</v>
      </c>
      <c r="C36" s="6">
        <f t="shared" ref="C36:F36" si="71">PI() - C35</f>
        <v>2.8260726942519443</v>
      </c>
      <c r="D36" s="6">
        <f t="shared" si="71"/>
        <v>2.5944686177549579</v>
      </c>
      <c r="E36" s="6">
        <f t="shared" si="71"/>
        <v>2.2333751455656641</v>
      </c>
      <c r="F36" s="6">
        <f t="shared" si="71"/>
        <v>1.8803057621683443</v>
      </c>
      <c r="H36" s="1" t="s">
        <v>24</v>
      </c>
      <c r="I36" s="6">
        <f>PI() - I35</f>
        <v>3.0244158829112648</v>
      </c>
      <c r="J36" s="6">
        <f t="shared" ref="J36:M36" si="72">PI() - J35</f>
        <v>2.9298023417334496</v>
      </c>
      <c r="K36" s="6">
        <f t="shared" si="72"/>
        <v>2.781441101558543</v>
      </c>
      <c r="L36" s="6">
        <f t="shared" si="72"/>
        <v>2.578169729875158</v>
      </c>
      <c r="M36" s="6">
        <f t="shared" si="72"/>
        <v>2.440267713795703</v>
      </c>
      <c r="O36" s="1" t="s">
        <v>24</v>
      </c>
      <c r="P36" s="6">
        <f>PI() - P35</f>
        <v>2.8950377434570878</v>
      </c>
      <c r="Q36" s="6">
        <f t="shared" ref="Q36:T36" si="73">PI() - Q35</f>
        <v>2.6872789370570938</v>
      </c>
      <c r="R36" s="6">
        <f t="shared" si="73"/>
        <v>2.3148621831457459</v>
      </c>
      <c r="S36" s="6">
        <f t="shared" si="73"/>
        <v>1.5707963267948966</v>
      </c>
      <c r="T36" s="6">
        <f t="shared" si="73"/>
        <v>1.5707963267948966</v>
      </c>
      <c r="V36" s="1" t="s">
        <v>24</v>
      </c>
      <c r="W36" s="6">
        <f>PI() - W35</f>
        <v>2.8120922278755174</v>
      </c>
      <c r="X36" s="6">
        <f t="shared" ref="X36:AA36" si="74">PI() - X35</f>
        <v>2.3309060682877885</v>
      </c>
      <c r="Y36" s="6">
        <f t="shared" si="74"/>
        <v>1.5707963267948966</v>
      </c>
      <c r="Z36" s="6">
        <f t="shared" si="74"/>
        <v>1.5707963267948966</v>
      </c>
      <c r="AA36" s="6">
        <f t="shared" si="74"/>
        <v>1.5707963267948966</v>
      </c>
      <c r="AC36" s="1" t="s">
        <v>24</v>
      </c>
      <c r="AD36" s="6">
        <f>PI() - AD35</f>
        <v>2.8950377434570878</v>
      </c>
      <c r="AE36" s="6">
        <f t="shared" ref="AE36:AH36" si="75">PI() - AE35</f>
        <v>2.6872789370570938</v>
      </c>
      <c r="AF36" s="6">
        <f t="shared" si="75"/>
        <v>2.3148621831457454</v>
      </c>
      <c r="AG36" s="6">
        <f t="shared" si="75"/>
        <v>1.5707963267948966</v>
      </c>
      <c r="AH36" s="6">
        <f t="shared" si="75"/>
        <v>1.5707963267948966</v>
      </c>
    </row>
    <row r="37" spans="1:34" x14ac:dyDescent="0.45">
      <c r="A37" s="1">
        <v>1</v>
      </c>
      <c r="B37" s="6">
        <f xml:space="preserve"> (1/PI())*(B23*(PI()/2 + B35 - SIN(2*B35)/2) + 2*B22*COS(B35))</f>
        <v>5.2595857829127066</v>
      </c>
      <c r="C37" s="6">
        <f t="shared" ref="C37:F37" si="76" xml:space="preserve"> (1/PI())*(C23*(PI()/2 + C35 - SIN(2*C35)/2) + 2*C22*COS(C35))</f>
        <v>3.0190455144158062</v>
      </c>
      <c r="D37" s="6">
        <f t="shared" si="76"/>
        <v>1.7797530088143985</v>
      </c>
      <c r="E37" s="6">
        <f t="shared" si="76"/>
        <v>1.0313519804316871</v>
      </c>
      <c r="F37" s="6">
        <f t="shared" si="76"/>
        <v>0.72471806601264244</v>
      </c>
      <c r="H37" s="1">
        <v>1</v>
      </c>
      <c r="I37" s="6">
        <f xml:space="preserve"> (1/PI())*(I23*(PI()/2 + I35 - SIN(2*I35)/2) + 2*I22*COS(I35))</f>
        <v>7.3173635367333443</v>
      </c>
      <c r="J37" s="6">
        <f t="shared" ref="J37:M37" si="77" xml:space="preserve"> (1/PI())*(J23*(PI()/2 + J35 - SIN(2*J35)/2) + 2*J22*COS(J35))</f>
        <v>4.0619373667084488</v>
      </c>
      <c r="K37" s="6">
        <f t="shared" si="77"/>
        <v>2.3181438520697357</v>
      </c>
      <c r="L37" s="6">
        <f t="shared" si="77"/>
        <v>1.3281800528771455</v>
      </c>
      <c r="M37" s="6">
        <f t="shared" si="77"/>
        <v>0.9474507413382246</v>
      </c>
      <c r="O37" s="1">
        <v>1</v>
      </c>
      <c r="P37" s="6">
        <f xml:space="preserve"> (1/PI())*(P23*(PI()/2 + P35 - SIN(2*P35)/2) + 2*P22*COS(P35))</f>
        <v>10.934676427129228</v>
      </c>
      <c r="Q37" s="6">
        <f t="shared" ref="Q37:T37" si="78" xml:space="preserve"> (1/PI())*(Q23*(PI()/2 + Q35 - SIN(2*Q35)/2) + 2*Q22*COS(Q35))</f>
        <v>6.4879749988761199</v>
      </c>
      <c r="R37" s="6">
        <f t="shared" si="78"/>
        <v>3.8972461358322716</v>
      </c>
      <c r="S37" s="6">
        <f t="shared" si="78"/>
        <v>2.1179688464404749</v>
      </c>
      <c r="T37" s="6">
        <f t="shared" si="78"/>
        <v>1.4128620423051765</v>
      </c>
      <c r="V37" s="1" t="s">
        <v>25</v>
      </c>
      <c r="W37" s="6">
        <f xml:space="preserve"> (1/PI())*(W23*(PI()/2 + W35 - SIN(2*W35)/2) + 2*W22*COS(W35))</f>
        <v>12.21784430209172</v>
      </c>
      <c r="X37" s="6">
        <f t="shared" ref="X37:AA37" si="79" xml:space="preserve"> (1/PI())*(X23*(PI()/2 + X35 - SIN(2*X35)/2) + 2*X22*COS(X35))</f>
        <v>7.4441835805904866</v>
      </c>
      <c r="Y37" s="6">
        <f t="shared" si="79"/>
        <v>4.7196415387108548</v>
      </c>
      <c r="Z37" s="6">
        <f t="shared" si="79"/>
        <v>2.3642442937009953</v>
      </c>
      <c r="AA37" s="6">
        <f t="shared" si="79"/>
        <v>1.5771483262941504</v>
      </c>
      <c r="AC37" s="1" t="s">
        <v>25</v>
      </c>
      <c r="AD37" s="6">
        <f xml:space="preserve"> (1/PI())*(AD23*(PI()/2 + AD35 - SIN(2*AD35)/2) + 2*AD22*COS(AD35))</f>
        <v>12.959616506227235</v>
      </c>
      <c r="AE37" s="6">
        <f t="shared" ref="AE37:AH37" si="80" xml:space="preserve"> (1/PI())*(AE23*(PI()/2 + AE35 - SIN(2*AE35)/2) + 2*AE22*COS(AE35))</f>
        <v>7.6894518505198448</v>
      </c>
      <c r="AF37" s="6">
        <f t="shared" si="80"/>
        <v>4.6189583832086178</v>
      </c>
      <c r="AG37" s="6">
        <f t="shared" si="80"/>
        <v>2.5101852994850073</v>
      </c>
      <c r="AH37" s="6">
        <f t="shared" si="80"/>
        <v>1.674503161250579</v>
      </c>
    </row>
    <row r="38" spans="1:34" x14ac:dyDescent="0.45">
      <c r="A38" s="1">
        <v>2</v>
      </c>
      <c r="B38" s="6">
        <f>(2/PI()) * ABS( (B23 * COS(B35))/2 - (B23 * COS(3*B35))/6 - (B22 * SIN(2*B35))/2 )</f>
        <v>1.7505235209259871</v>
      </c>
      <c r="C38" s="6">
        <f t="shared" ref="C38:F38" si="81">(2/PI()) * ABS( (C23 * COS(C35))/2 - (C23 * COS(3*C35))/6 - (C22 * SIN(2*C35))/2 )</f>
        <v>0.79268911957930732</v>
      </c>
      <c r="D38" s="6">
        <f t="shared" si="81"/>
        <v>0.28844562648681116</v>
      </c>
      <c r="E38" s="6">
        <f t="shared" si="81"/>
        <v>5.3998807396840272E-2</v>
      </c>
      <c r="F38" s="6">
        <f t="shared" si="81"/>
        <v>4.3729036192904072E-3</v>
      </c>
      <c r="H38" s="1">
        <v>2</v>
      </c>
      <c r="I38" s="6">
        <f>(2/PI()) * ABS( (I23 * COS(I35))/2 - (I23 * COS(3*I35))/6 - (I22 * SIN(2*I35))/2 )</f>
        <v>2.6487589137718381</v>
      </c>
      <c r="J38" s="6">
        <f t="shared" ref="J38:M38" si="82">(2/PI()) * ABS( (J23 * COS(J35))/2 - (J23 * COS(3*J35))/6 - (J22 * SIN(2*J35))/2 )</f>
        <v>1.2728055925438664</v>
      </c>
      <c r="K38" s="6">
        <f t="shared" si="82"/>
        <v>0.56028032205728706</v>
      </c>
      <c r="L38" s="6">
        <f t="shared" si="82"/>
        <v>0.20692600809112854</v>
      </c>
      <c r="M38" s="6">
        <f t="shared" si="82"/>
        <v>0.10186356423134442</v>
      </c>
      <c r="O38" s="1">
        <v>2</v>
      </c>
      <c r="P38" s="6">
        <f>(2/PI()) * ABS( (P23 * COS(P35))/2 - (P23 * COS(3*P35))/6 - (P22 * SIN(2*P35))/2 )</f>
        <v>3.2366690506285765</v>
      </c>
      <c r="Q38" s="6">
        <f t="shared" ref="Q38:T38" si="83">(2/PI()) * ABS( (Q23 * COS(Q35))/2 - (Q23 * COS(3*Q35))/6 - (Q22 * SIN(2*Q35))/2 )</f>
        <v>1.2970231708143887</v>
      </c>
      <c r="R38" s="6">
        <f t="shared" si="83"/>
        <v>0.27874633097636703</v>
      </c>
      <c r="S38" s="6">
        <f t="shared" si="83"/>
        <v>9.4967078695717151E-18</v>
      </c>
      <c r="T38" s="6">
        <f t="shared" si="83"/>
        <v>1.9119928209849165E-17</v>
      </c>
      <c r="V38" s="1" t="s">
        <v>26</v>
      </c>
      <c r="W38" s="6">
        <f>(2/PI()) * ABS( (W23 * COS(W35))/2 - (W23 * COS(3*W35))/6 - (W22 * SIN(2*W35))/2 )</f>
        <v>3.6453973999239744</v>
      </c>
      <c r="X38" s="6">
        <f t="shared" ref="X38:AA38" si="84">(2/PI()) * ABS( (X23 * COS(X35))/2 - (X23 * COS(3*X35))/6 - (X22 * SIN(2*X35))/2 )</f>
        <v>1.5074995937629436</v>
      </c>
      <c r="Y38" s="6">
        <f t="shared" si="84"/>
        <v>4.8641915653312754E-17</v>
      </c>
      <c r="Z38" s="6">
        <f t="shared" si="84"/>
        <v>1.0600976226498649E-17</v>
      </c>
      <c r="AA38" s="6">
        <f t="shared" si="84"/>
        <v>2.1343175676110696E-17</v>
      </c>
      <c r="AC38" s="1" t="s">
        <v>26</v>
      </c>
      <c r="AD38" s="6">
        <f>(2/PI()) * ABS( (AD23 * COS(AD35))/2 - (AD23 * COS(3*AD35))/6 - (AD22 * SIN(2*AD35))/2 )</f>
        <v>3.8360522081523865</v>
      </c>
      <c r="AE38" s="6">
        <f t="shared" ref="AE38:AH38" si="85">(2/PI()) * ABS( (AE23 * COS(AE35))/2 - (AE23 * COS(3*AE35))/6 - (AE22 * SIN(2*AE35))/2 )</f>
        <v>1.5372126468911274</v>
      </c>
      <c r="AF38" s="6">
        <f t="shared" si="85"/>
        <v>0.3303660218979162</v>
      </c>
      <c r="AG38" s="6">
        <f t="shared" si="85"/>
        <v>1.1255357475047948E-17</v>
      </c>
      <c r="AH38" s="6">
        <f t="shared" si="85"/>
        <v>2.2660655656117555E-17</v>
      </c>
    </row>
    <row r="39" spans="1:34" x14ac:dyDescent="0.45">
      <c r="A39" s="1">
        <v>3</v>
      </c>
      <c r="B39" s="6">
        <f>(2/PI()) * ABS((B23 * SIN(2*B35))/4 - (B23 * SIN(4*B35))/8 + (B22 * COS(3*B35))/3)</f>
        <v>0.30210476836753675</v>
      </c>
      <c r="C39" s="6">
        <f t="shared" ref="C39:F39" si="86">(2/PI()) * ABS((C23 * SIN(2*C35))/4 - (C23 * SIN(4*C35))/8 + (C22 * COS(3*C35))/3)</f>
        <v>0.24597999863724243</v>
      </c>
      <c r="D39" s="6">
        <f t="shared" si="86"/>
        <v>0.15005900303853251</v>
      </c>
      <c r="E39" s="6">
        <f t="shared" si="86"/>
        <v>4.2573118156164456E-2</v>
      </c>
      <c r="F39" s="6">
        <f t="shared" si="86"/>
        <v>4.1651168226970016E-3</v>
      </c>
      <c r="H39" s="1">
        <v>3</v>
      </c>
      <c r="I39" s="6">
        <f>(2/PI()) * ABS((I23 * SIN(2*I35))/4 - (I23 * SIN(4*I35))/8 + (I22 * COS(3*I35))/3)</f>
        <v>0.30966324588700683</v>
      </c>
      <c r="J39" s="6">
        <f t="shared" ref="J39:M39" si="87">(2/PI()) * ABS((J23 * SIN(2*J35))/4 - (J23 * SIN(4*J35))/8 + (J22 * COS(3*J35))/3)</f>
        <v>0.26755715750884618</v>
      </c>
      <c r="K39" s="6">
        <f t="shared" si="87"/>
        <v>0.19745178712119416</v>
      </c>
      <c r="L39" s="6">
        <f t="shared" si="87"/>
        <v>0.11051569837245601</v>
      </c>
      <c r="M39" s="6">
        <f t="shared" si="87"/>
        <v>6.5725477598681706E-2</v>
      </c>
      <c r="O39" s="1">
        <v>3</v>
      </c>
      <c r="P39" s="6">
        <f>(2/PI()) * ABS((P23 * SIN(2*P35))/4 - (P23 * SIN(4*P35))/8 + (P22 * COS(3*P35))/3)</f>
        <v>0.78995603719230867</v>
      </c>
      <c r="Q39" s="6">
        <f t="shared" ref="Q39:T39" si="88">(2/PI()) * ABS((Q23 * SIN(2*Q35))/4 - (Q23 * SIN(4*Q35))/8 + (Q22 * COS(3*Q35))/3)</f>
        <v>0.56919310443994753</v>
      </c>
      <c r="R39" s="6">
        <f t="shared" si="88"/>
        <v>0.20507950278613318</v>
      </c>
      <c r="S39" s="6">
        <f t="shared" si="88"/>
        <v>9.4967078695717151E-18</v>
      </c>
      <c r="T39" s="6">
        <f t="shared" si="88"/>
        <v>1.9119928209849149E-17</v>
      </c>
      <c r="V39" s="1" t="s">
        <v>27</v>
      </c>
      <c r="W39" s="6">
        <f>(2/PI()) * ABS((W23 * SIN(2*W35))/4 - (W23 * SIN(4*W35))/8 + (W22 * COS(3*W35))/3)</f>
        <v>0.91271344010321309</v>
      </c>
      <c r="X39" s="6">
        <f t="shared" ref="X39:AA39" si="89">(2/PI()) * ABS((X23 * SIN(2*X35))/4 - (X23 * SIN(4*X35))/8 + (X22 * COS(3*X35))/3)</f>
        <v>0.90595019788592335</v>
      </c>
      <c r="Y39" s="6">
        <f t="shared" si="89"/>
        <v>4.8641915653312754E-17</v>
      </c>
      <c r="Z39" s="6">
        <f t="shared" si="89"/>
        <v>1.0600976226498649E-17</v>
      </c>
      <c r="AA39" s="6">
        <f t="shared" si="89"/>
        <v>2.1343175676110696E-17</v>
      </c>
      <c r="AC39" s="1" t="s">
        <v>27</v>
      </c>
      <c r="AD39" s="6">
        <f>(2/PI()) * ABS((AD23 * SIN(2*AD35))/4 - (AD23 * SIN(4*AD35))/8 + (AD22 * COS(3*AD35))/3)</f>
        <v>0.93624419222792155</v>
      </c>
      <c r="AE39" s="6">
        <f t="shared" ref="AE39:AH39" si="90">(2/PI()) * ABS((AE23 * SIN(2*AE35))/4 - (AE23 * SIN(4*AE35))/8 + (AE22 * COS(3*AE35))/3)</f>
        <v>0.67459923489178963</v>
      </c>
      <c r="AF39" s="6">
        <f t="shared" si="90"/>
        <v>0.2430571884872689</v>
      </c>
      <c r="AG39" s="6">
        <f t="shared" si="90"/>
        <v>1.1255357475047948E-17</v>
      </c>
      <c r="AH39" s="6">
        <f t="shared" si="90"/>
        <v>2.2660655656117555E-17</v>
      </c>
    </row>
    <row r="40" spans="1:34" x14ac:dyDescent="0.45">
      <c r="A40" s="1">
        <v>4</v>
      </c>
      <c r="B40" s="6">
        <f>(2/PI()) * ABS((B23 * COS(3*B35))/6 - (B23 * COS(5*B35))/10 - (B22 * SIN(4*B35))/4)</f>
        <v>0.28754013537177747</v>
      </c>
      <c r="C40" s="6">
        <f t="shared" ref="C40:F40" si="91">(2/PI()) * ABS((C23 * COS(3*C35))/6 - (C23 * COS(5*C35))/10 - (C22 * SIN(4*C35))/4)</f>
        <v>6.6941522311485591E-2</v>
      </c>
      <c r="D40" s="6">
        <f t="shared" si="91"/>
        <v>3.5989692442443211E-2</v>
      </c>
      <c r="E40" s="6">
        <f t="shared" si="91"/>
        <v>2.9478247837810879E-2</v>
      </c>
      <c r="F40" s="6">
        <f t="shared" si="91"/>
        <v>3.8860633672262754E-3</v>
      </c>
      <c r="H40" s="1">
        <v>4</v>
      </c>
      <c r="I40" s="6">
        <f>(2/PI()) * ABS((I23 * COS(3*I35))/6 - (I23 * COS(5*I35))/10 - (I22 * SIN(4*I35))/4)</f>
        <v>0.4863089498013024</v>
      </c>
      <c r="J40" s="6">
        <f t="shared" ref="J40:M40" si="92">(2/PI()) * ABS((J23 * COS(3*J35))/6 - (J23 * COS(5*J35))/10 - (J22 * SIN(4*J35))/4)</f>
        <v>0.18706911537468451</v>
      </c>
      <c r="K40" s="6">
        <f t="shared" si="92"/>
        <v>2.8553845891563689E-2</v>
      </c>
      <c r="L40" s="6">
        <f t="shared" si="92"/>
        <v>2.9444287817666934E-2</v>
      </c>
      <c r="M40" s="6">
        <f t="shared" si="92"/>
        <v>3.0516985799232267E-2</v>
      </c>
      <c r="O40" s="1">
        <v>4</v>
      </c>
      <c r="P40" s="6">
        <f>(2/PI()) * ABS((P23 * COS(3*P35))/6 - (P23 * COS(5*P35))/10 - (P22 * SIN(4*P35))/4)</f>
        <v>0.41597353290167743</v>
      </c>
      <c r="Q40" s="6">
        <f t="shared" ref="Q40:T40" si="93">(2/PI()) * ABS((Q23 * COS(3*Q35))/6 - (Q23 * COS(5*Q35))/10 - (Q22 * SIN(4*Q35))/4)</f>
        <v>4.0340934704849202E-2</v>
      </c>
      <c r="R40" s="6">
        <f t="shared" si="93"/>
        <v>0.12530826657594046</v>
      </c>
      <c r="S40" s="6">
        <f t="shared" si="93"/>
        <v>9.4967078695717151E-18</v>
      </c>
      <c r="T40" s="6">
        <f t="shared" si="93"/>
        <v>1.9119928209849174E-17</v>
      </c>
      <c r="V40" s="1" t="s">
        <v>28</v>
      </c>
      <c r="W40" s="6">
        <f>(2/PI()) * ABS((W23 * COS(3*W35))/6 - (W23 * COS(5*W35))/10 - (W22 * SIN(4*W35))/4)</f>
        <v>0.47829265543452965</v>
      </c>
      <c r="X40" s="6">
        <f t="shared" ref="X40:AA40" si="94">(2/PI()) * ABS((X23 * COS(3*X35))/6 - (X23 * COS(5*X35))/10 - (X22 * SIN(4*X35))/4)</f>
        <v>0.32410547656814354</v>
      </c>
      <c r="Y40" s="6">
        <f t="shared" si="94"/>
        <v>4.8641915653312754E-17</v>
      </c>
      <c r="Z40" s="6">
        <f t="shared" si="94"/>
        <v>1.0600976226498649E-17</v>
      </c>
      <c r="AA40" s="6">
        <f t="shared" si="94"/>
        <v>2.1343175676110696E-17</v>
      </c>
      <c r="AC40" s="1" t="s">
        <v>28</v>
      </c>
      <c r="AD40" s="6">
        <f>(2/PI()) * ABS((AD23 * COS(3*AD35))/6 - (AD23 * COS(5*AD35))/10 - (AD22 * SIN(4*AD35))/4)</f>
        <v>0.49300566862421025</v>
      </c>
      <c r="AE40" s="6">
        <f t="shared" ref="AE40:AH40" si="95">(2/PI()) * ABS((AE23 * COS(3*AE35))/6 - (AE23 * COS(5*AE35))/10 - (AE22 * SIN(4*AE35))/4)</f>
        <v>4.7811478168710231E-2</v>
      </c>
      <c r="AF40" s="6">
        <f t="shared" si="95"/>
        <v>0.14851350112704031</v>
      </c>
      <c r="AG40" s="6">
        <f t="shared" si="95"/>
        <v>1.1255357475047948E-17</v>
      </c>
      <c r="AH40" s="6">
        <f t="shared" si="95"/>
        <v>2.2660655656117555E-17</v>
      </c>
    </row>
    <row r="41" spans="1:34" x14ac:dyDescent="0.45">
      <c r="A41" s="1">
        <v>5</v>
      </c>
      <c r="B41" s="6">
        <f>(2/PI()) * ABS((B23 * SIN(4*B35))/8 - (B23 * SIN(6*B35))/12 + (B22 * COS(5*B35))/5)</f>
        <v>0.16686636432038471</v>
      </c>
      <c r="C41" s="6">
        <f t="shared" ref="C41:F41" si="96">(2/PI()) * ABS((C23 * SIN(4*C35))/8 - (C23 * SIN(6*C35))/12 + (C22 * COS(5*C35))/5)</f>
        <v>0.10969023642800815</v>
      </c>
      <c r="D41" s="6">
        <f t="shared" si="96"/>
        <v>2.5055621903748347E-2</v>
      </c>
      <c r="E41" s="6">
        <f t="shared" si="96"/>
        <v>1.6796828402453799E-2</v>
      </c>
      <c r="F41" s="6">
        <f t="shared" si="96"/>
        <v>3.5468406686428263E-3</v>
      </c>
      <c r="H41" s="1">
        <v>5</v>
      </c>
      <c r="I41" s="6">
        <f>(2/PI()) * ABS((I23 * SIN(4*I35))/8 - (I23 * SIN(6*I35))/12 + (I22 * COS(5*I35))/5)</f>
        <v>0.17902614780726978</v>
      </c>
      <c r="J41" s="6">
        <f t="shared" ref="J41:M41" si="97">(2/PI()) * ABS((J23 * SIN(4*J35))/8 - (J23 * SIN(6*J35))/12 + (J22 * COS(5*J35))/5)</f>
        <v>0.14161758680706063</v>
      </c>
      <c r="K41" s="6">
        <f t="shared" si="97"/>
        <v>7.92343744359464E-2</v>
      </c>
      <c r="L41" s="6">
        <f t="shared" si="97"/>
        <v>1.5870968019770726E-2</v>
      </c>
      <c r="M41" s="6">
        <f t="shared" si="97"/>
        <v>4.3454937890644108E-3</v>
      </c>
      <c r="O41" s="1">
        <v>5</v>
      </c>
      <c r="P41" s="6">
        <f>(2/PI()) * ABS((P23 * SIN(4*P35))/8 - (P23 * SIN(6*P35))/12 + (P22 * COS(5*P35))/5)</f>
        <v>0.39868451288393786</v>
      </c>
      <c r="Q41" s="6">
        <f t="shared" ref="Q41:T41" si="98">(2/PI()) * ABS((Q23 * SIN(4*Q35))/8 - (Q23 * SIN(6*Q35))/12 + (Q22 * COS(5*Q35))/5)</f>
        <v>0.16612643788978762</v>
      </c>
      <c r="R41" s="6">
        <f t="shared" si="98"/>
        <v>5.4562714060525083E-2</v>
      </c>
      <c r="S41" s="6">
        <f t="shared" si="98"/>
        <v>9.4967078695717151E-18</v>
      </c>
      <c r="T41" s="6">
        <f t="shared" si="98"/>
        <v>1.9119928209849149E-17</v>
      </c>
      <c r="V41" s="1" t="s">
        <v>29</v>
      </c>
      <c r="W41" s="6">
        <f>(2/PI()) * ABS((W23 * SIN(4*W35))/8 - (W23 * SIN(6*W35))/12 + (W22 * COS(5*W35))/5)</f>
        <v>0.48413008884400127</v>
      </c>
      <c r="X41" s="6">
        <f t="shared" ref="X41:AA41" si="99">(2/PI()) * ABS((X23 * SIN(4*X35))/8 - (X23 * SIN(6*X35))/12 + (X22 * COS(5*X35))/5)</f>
        <v>9.5866683218799251E-2</v>
      </c>
      <c r="Y41" s="6">
        <f t="shared" si="99"/>
        <v>4.8641915653312754E-17</v>
      </c>
      <c r="Z41" s="6">
        <f t="shared" si="99"/>
        <v>1.0600976226498649E-17</v>
      </c>
      <c r="AA41" s="6">
        <f t="shared" si="99"/>
        <v>2.1343175676110696E-17</v>
      </c>
      <c r="AC41" s="1" t="s">
        <v>29</v>
      </c>
      <c r="AD41" s="6">
        <f>(2/PI()) * ABS((AD23 * SIN(4*AD35))/8 - (AD23 * SIN(6*AD35))/12 + (AD22 * COS(5*AD35))/5)</f>
        <v>0.47251497823281535</v>
      </c>
      <c r="AE41" s="6">
        <f t="shared" ref="AE41:AH41" si="100">(2/PI()) * ABS((AE23 * SIN(4*AE35))/8 - (AE23 * SIN(6*AE35))/12 + (AE22 * COS(5*AE35))/5)</f>
        <v>0.19689059305456313</v>
      </c>
      <c r="AF41" s="6">
        <f t="shared" si="100"/>
        <v>6.466692036803004E-2</v>
      </c>
      <c r="AG41" s="6">
        <f t="shared" si="100"/>
        <v>1.1255357475047964E-17</v>
      </c>
      <c r="AH41" s="6">
        <f t="shared" si="100"/>
        <v>2.2660655656117555E-17</v>
      </c>
    </row>
    <row r="42" spans="1:34" x14ac:dyDescent="0.45">
      <c r="A42" s="1">
        <v>6</v>
      </c>
      <c r="B42" s="6">
        <f>(2/PI()) * ABS((B23 * COS(5*B35))/10 - (B23 * COS(7*B35))/14 - (B22 * SIN(6*B35))/6)</f>
        <v>8.209185546880432E-2</v>
      </c>
      <c r="C42" s="6">
        <f t="shared" ref="C42:F42" si="101">(2/PI()) * ABS((C23 * COS(5*C35))/10 - (C23 * COS(7*C35))/14 - (C22 * SIN(6*C35))/6)</f>
        <v>1.9936584070101293E-2</v>
      </c>
      <c r="D42" s="6">
        <f t="shared" si="101"/>
        <v>3.4045250162795068E-2</v>
      </c>
      <c r="E42" s="6">
        <f t="shared" si="101"/>
        <v>6.2846967887268488E-3</v>
      </c>
      <c r="F42" s="6">
        <f t="shared" si="101"/>
        <v>3.1606954390375444E-3</v>
      </c>
      <c r="H42" s="1">
        <v>6</v>
      </c>
      <c r="I42" s="6">
        <f>(2/PI()) * ABS((I23 * COS(5*I35))/10 - (I23 * COS(7*I35))/14 - (I22 * SIN(6*I35))/6)</f>
        <v>0.1785185021344744</v>
      </c>
      <c r="J42" s="6">
        <f t="shared" ref="J42:M42" si="102">(2/PI()) * ABS((J23 * COS(5*J35))/10 - (J23 * COS(7*J35))/14 - (J22 * SIN(6*J35))/6)</f>
        <v>3.7644606405002973E-2</v>
      </c>
      <c r="K42" s="6">
        <f t="shared" si="102"/>
        <v>2.7653303980698398E-2</v>
      </c>
      <c r="L42" s="6">
        <f t="shared" si="102"/>
        <v>2.4728147510674287E-2</v>
      </c>
      <c r="M42" s="6">
        <f t="shared" si="102"/>
        <v>9.0732152101924372E-3</v>
      </c>
      <c r="O42" s="1">
        <v>6</v>
      </c>
      <c r="P42" s="6">
        <f>(2/PI()) * ABS((P23 * COS(5*P35))/10 - (P23 * COS(7*P35))/14 - (P22 * SIN(6*P35))/6)</f>
        <v>3.9267600940376374E-2</v>
      </c>
      <c r="Q42" s="6">
        <f t="shared" ref="Q42:T42" si="103">(2/PI()) * ABS((Q23 * COS(5*Q35))/10 - (Q23 * COS(7*Q35))/14 - (Q22 * SIN(6*Q35))/6)</f>
        <v>0.12143737345897167</v>
      </c>
      <c r="R42" s="6">
        <f t="shared" si="103"/>
        <v>3.6434991064085501E-3</v>
      </c>
      <c r="S42" s="6">
        <f t="shared" si="103"/>
        <v>9.4967078695717151E-18</v>
      </c>
      <c r="T42" s="6">
        <f t="shared" si="103"/>
        <v>1.9119928209849155E-17</v>
      </c>
      <c r="V42" s="1" t="s">
        <v>30</v>
      </c>
      <c r="W42" s="6">
        <f>(2/PI()) * ABS((W23 * COS(5*W35))/10 - (W23 * COS(7*W35))/14 - (W22 * SIN(6*W35))/6)</f>
        <v>3.4539158909136877E-2</v>
      </c>
      <c r="X42" s="6">
        <f t="shared" ref="X42:AA42" si="104">(2/PI()) * ABS((X23 * COS(5*X35))/10 - (X23 * COS(7*X35))/14 - (X22 * SIN(6*X35))/6)</f>
        <v>0.28462037848177268</v>
      </c>
      <c r="Y42" s="6">
        <f t="shared" si="104"/>
        <v>4.8641915653312754E-17</v>
      </c>
      <c r="Z42" s="6">
        <f t="shared" si="104"/>
        <v>1.0600976226498649E-17</v>
      </c>
      <c r="AA42" s="6">
        <f t="shared" si="104"/>
        <v>2.1343175676110687E-17</v>
      </c>
      <c r="AC42" s="1" t="s">
        <v>30</v>
      </c>
      <c r="AD42" s="6">
        <f>(2/PI()) * ABS((AD23 * COS(5*AD35))/10 - (AD23 * COS(7*AD35))/14 - (AD22 * SIN(6*AD35))/6)</f>
        <v>4.6539378892297853E-2</v>
      </c>
      <c r="AE42" s="6">
        <f t="shared" ref="AE42:AH42" si="105">(2/PI()) * ABS((AE23 * COS(5*AE35))/10 - (AE23 * COS(7*AE35))/14 - (AE22 * SIN(6*AE35))/6)</f>
        <v>0.14392577595137374</v>
      </c>
      <c r="AF42" s="6">
        <f t="shared" si="105"/>
        <v>4.3182211631506515E-3</v>
      </c>
      <c r="AG42" s="6">
        <f t="shared" si="105"/>
        <v>1.1255357475047948E-17</v>
      </c>
      <c r="AH42" s="6">
        <f t="shared" si="105"/>
        <v>2.2660655656117555E-17</v>
      </c>
    </row>
    <row r="43" spans="1:34" x14ac:dyDescent="0.45">
      <c r="A43" s="1">
        <v>7</v>
      </c>
      <c r="B43" s="6">
        <f>(2/PI()) * ABS((B23 * SIN(6*B35))/12 - (B23 * SIN(8*B35))/16 + (B22 * COS(7*B35))/7)</f>
        <v>0.10468425992475634</v>
      </c>
      <c r="C43" s="6">
        <f t="shared" ref="C43:F43" si="106">(2/PI()) * ABS((C23 * SIN(6*C35))/12 - (C23 * SIN(8*C35))/16 + (C22 * COS(7*C35))/7)</f>
        <v>4.5565312042959202E-2</v>
      </c>
      <c r="D43" s="6">
        <f t="shared" si="106"/>
        <v>1.4039395283059329E-2</v>
      </c>
      <c r="E43" s="6">
        <f t="shared" si="106"/>
        <v>9.660517511871664E-4</v>
      </c>
      <c r="F43" s="6">
        <f t="shared" si="106"/>
        <v>2.7423431802743887E-3</v>
      </c>
      <c r="H43" s="1">
        <v>7</v>
      </c>
      <c r="I43" s="6">
        <f>(2/PI()) * ABS((I23 * SIN(6*I35))/12 - (I23 * SIN(8*I35))/16 + (I22 * COS(7*I35))/7)</f>
        <v>0.12081865169768649</v>
      </c>
      <c r="J43" s="6">
        <f t="shared" ref="J43:M43" si="107">(2/PI()) * ABS((J23 * SIN(6*J35))/12 - (J23 * SIN(8*J35))/16 + (J22 * COS(7*J35))/7)</f>
        <v>8.2678733256400724E-2</v>
      </c>
      <c r="K43" s="6">
        <f t="shared" si="107"/>
        <v>2.4998984304620886E-2</v>
      </c>
      <c r="L43" s="6">
        <f t="shared" si="107"/>
        <v>1.1874847109021846E-2</v>
      </c>
      <c r="M43" s="6">
        <f t="shared" si="107"/>
        <v>1.0954219556697602E-2</v>
      </c>
      <c r="O43" s="1">
        <v>7</v>
      </c>
      <c r="P43" s="6">
        <f>(2/PI()) * ABS((P23 * SIN(6*P35))/12 - (P23 * SIN(8*P35))/16 + (P22 * COS(7*P35))/7)</f>
        <v>0.21371799795756408</v>
      </c>
      <c r="Q43" s="6">
        <f t="shared" ref="Q43:T43" si="108">(2/PI()) * ABS((Q23 * SIN(6*Q35))/12 - (Q23 * SIN(8*Q35))/16 + (Q22 * COS(7*Q35))/7)</f>
        <v>3.1248063364923691E-3</v>
      </c>
      <c r="R43" s="6">
        <f t="shared" si="108"/>
        <v>2.326045934242563E-2</v>
      </c>
      <c r="S43" s="6">
        <f t="shared" si="108"/>
        <v>9.4967078695716997E-18</v>
      </c>
      <c r="T43" s="6">
        <f t="shared" si="108"/>
        <v>1.9119928209849149E-17</v>
      </c>
      <c r="V43" s="1" t="s">
        <v>31</v>
      </c>
      <c r="W43" s="6">
        <f>(2/PI()) * ABS((W23 * SIN(6*W35))/12 - (W23 * SIN(8*W35))/16 + (W22 * COS(7*W35))/7)</f>
        <v>0.2719632554725489</v>
      </c>
      <c r="X43" s="6">
        <f t="shared" ref="X43:AA43" si="109">(2/PI()) * ABS((X23 * SIN(6*X35))/12 - (X23 * SIN(8*X35))/16 + (X22 * COS(7*X35))/7)</f>
        <v>0.26036928406379212</v>
      </c>
      <c r="Y43" s="6">
        <f t="shared" si="109"/>
        <v>4.8641915653312754E-17</v>
      </c>
      <c r="Z43" s="6">
        <f t="shared" si="109"/>
        <v>1.0600976226498649E-17</v>
      </c>
      <c r="AA43" s="6">
        <f t="shared" si="109"/>
        <v>2.1343175676110696E-17</v>
      </c>
      <c r="AC43" s="1" t="s">
        <v>31</v>
      </c>
      <c r="AD43" s="6">
        <f>(2/PI()) * ABS((AD23 * SIN(6*AD35))/12 - (AD23 * SIN(8*AD35))/16 + (AD22 * COS(7*AD35))/7)</f>
        <v>0.25329540498674241</v>
      </c>
      <c r="AE43" s="6">
        <f t="shared" ref="AE43:AH43" si="110">(2/PI()) * ABS((AE23 * SIN(6*AE35))/12 - (AE23 * SIN(8*AE35))/16 + (AE22 * COS(7*AE35))/7)</f>
        <v>3.7034741765835091E-3</v>
      </c>
      <c r="AF43" s="6">
        <f t="shared" si="110"/>
        <v>2.7567951813245083E-2</v>
      </c>
      <c r="AG43" s="6">
        <f t="shared" si="110"/>
        <v>1.1255357475047964E-17</v>
      </c>
      <c r="AH43" s="6">
        <f t="shared" si="110"/>
        <v>2.2660655656117555E-17</v>
      </c>
    </row>
    <row r="44" spans="1:34" x14ac:dyDescent="0.45">
      <c r="A44" s="1">
        <v>8</v>
      </c>
      <c r="B44" s="6">
        <f>(2/PI()) * ABS((B23 * COS(7*B35))/14 - (B23 * COS(9*B35))/18 - (B22 * SIN(8*B35))/8)</f>
        <v>1.7503336619549174E-2</v>
      </c>
      <c r="C44" s="6">
        <f t="shared" ref="C44:F44" si="111">(2/PI()) * ABS((C23 * COS(7*C35))/14 - (C23 * COS(9*C35))/18 - (C22 * SIN(8*C35))/8)</f>
        <v>3.3070515716903635E-2</v>
      </c>
      <c r="D44" s="6">
        <f t="shared" si="111"/>
        <v>7.5526232591277354E-3</v>
      </c>
      <c r="E44" s="6">
        <f t="shared" si="111"/>
        <v>4.6762768406759204E-3</v>
      </c>
      <c r="F44" s="6">
        <f t="shared" si="111"/>
        <v>2.3072245017651677E-3</v>
      </c>
      <c r="H44" s="1">
        <v>8</v>
      </c>
      <c r="I44" s="6">
        <f>(2/PI()) * ABS((I23 * COS(7*I35))/14 - (I23 * COS(9*I35))/18 - (I22 * SIN(8*I35))/8)</f>
        <v>7.7205089756588546E-2</v>
      </c>
      <c r="J44" s="6">
        <f t="shared" ref="J44:M44" si="112">(2/PI()) * ABS((J23 * COS(7*J35))/14 - (J23 * COS(9*J35))/18 - (J22 * SIN(8*J35))/8)</f>
        <v>6.1217944738255628E-3</v>
      </c>
      <c r="K44" s="6">
        <f t="shared" si="112"/>
        <v>2.9067459093678329E-2</v>
      </c>
      <c r="L44" s="6">
        <f t="shared" si="112"/>
        <v>3.8722837465815121E-3</v>
      </c>
      <c r="M44" s="6">
        <f t="shared" si="112"/>
        <v>5.9539860538343264E-3</v>
      </c>
      <c r="O44" s="1">
        <v>8</v>
      </c>
      <c r="P44" s="6">
        <f>(2/PI()) * ABS((P23 * COS(7*P35))/14 - (P23 * COS(9*P35))/18 - (P22 * SIN(8*P35))/8)</f>
        <v>5.9323965063159338E-2</v>
      </c>
      <c r="Q44" s="6">
        <f t="shared" ref="Q44:T44" si="113">(2/PI()) * ABS((Q23 * COS(7*Q35))/14 - (Q23 * COS(9*Q35))/18 - (Q22 * SIN(8*Q35))/8)</f>
        <v>6.9598353217947134E-2</v>
      </c>
      <c r="R44" s="6">
        <f t="shared" si="113"/>
        <v>2.8644709131428778E-2</v>
      </c>
      <c r="S44" s="6">
        <f t="shared" si="113"/>
        <v>9.4967078695717151E-18</v>
      </c>
      <c r="T44" s="6">
        <f t="shared" si="113"/>
        <v>1.9119928209849174E-17</v>
      </c>
      <c r="V44" s="1" t="s">
        <v>32</v>
      </c>
      <c r="W44" s="6">
        <f>(2/PI()) * ABS((W23 * COS(7*W35))/14 - (W23 * COS(9*W35))/18 - (W22 * SIN(8*W35))/8)</f>
        <v>9.5268240817148825E-2</v>
      </c>
      <c r="X44" s="6">
        <f t="shared" ref="X44:AA44" si="114">(2/PI()) * ABS((X23 * COS(7*X35))/14 - (X23 * COS(9*X35))/18 - (X22 * SIN(8*X35))/8)</f>
        <v>0.10886173276968894</v>
      </c>
      <c r="Y44" s="6">
        <f t="shared" si="114"/>
        <v>4.8641915653312754E-17</v>
      </c>
      <c r="Z44" s="6">
        <f t="shared" si="114"/>
        <v>1.0600976226498649E-17</v>
      </c>
      <c r="AA44" s="6">
        <f t="shared" si="114"/>
        <v>2.1343175676110696E-17</v>
      </c>
      <c r="AC44" s="1" t="s">
        <v>32</v>
      </c>
      <c r="AD44" s="6">
        <f>(2/PI()) * ABS((AD23 * COS(7*AD35))/14 - (AD23 * COS(9*AD35))/18 - (AD22 * SIN(8*AD35))/8)</f>
        <v>7.0309884519300037E-2</v>
      </c>
      <c r="AE44" s="6">
        <f t="shared" ref="AE44:AH44" si="115">(2/PI()) * ABS((AE23 * COS(7*AE35))/14 - (AE23 * COS(9*AE35))/18 - (AE22 * SIN(8*AE35))/8)</f>
        <v>8.2486937147196598E-2</v>
      </c>
      <c r="AF44" s="6">
        <f t="shared" si="115"/>
        <v>3.3949284896508149E-2</v>
      </c>
      <c r="AG44" s="6">
        <f t="shared" si="115"/>
        <v>1.1255357475047948E-17</v>
      </c>
      <c r="AH44" s="6">
        <f t="shared" si="115"/>
        <v>2.2660655656117555E-17</v>
      </c>
    </row>
    <row r="45" spans="1:34" x14ac:dyDescent="0.45">
      <c r="A45" s="1" t="s">
        <v>33</v>
      </c>
      <c r="B45" s="6">
        <f>(SQRT(B38^2 + B39^2 + B40^2 + B41^2 + B42^2 + B43^2 + B44^2) / B37)*100</f>
        <v>34.455494252815896</v>
      </c>
      <c r="C45" s="6">
        <f t="shared" ref="C45:F45" si="116">(SQRT(C38^2 + C39^2 + C40^2 + C41^2) / C37)*100</f>
        <v>27.818932987642341</v>
      </c>
      <c r="D45" s="6">
        <f t="shared" si="116"/>
        <v>18.434458663753858</v>
      </c>
      <c r="E45" s="6">
        <f t="shared" si="116"/>
        <v>7.4346607000191263</v>
      </c>
      <c r="F45" s="6">
        <f t="shared" si="116"/>
        <v>1.105188065876713</v>
      </c>
      <c r="H45" s="1" t="s">
        <v>33</v>
      </c>
      <c r="I45" s="6">
        <f>(SQRT(I38^2 + I39^2 + I40^2 + I41^2 + I42^2 + I43^2 + I44^2) / I37)*100</f>
        <v>37.258147308652561</v>
      </c>
      <c r="J45" s="6">
        <f t="shared" ref="J45:M45" si="117">(SQRT(J38^2 + J39^2 + J40^2 + J41^2 + J42^2 + J43^2 + J44^2) / J37)*100</f>
        <v>32.613739290927299</v>
      </c>
      <c r="K45" s="6">
        <f t="shared" si="117"/>
        <v>25.962790097978122</v>
      </c>
      <c r="L45" s="6">
        <f t="shared" si="117"/>
        <v>17.962613187663003</v>
      </c>
      <c r="M45" s="6">
        <f t="shared" si="117"/>
        <v>13.302178748613169</v>
      </c>
      <c r="O45" s="1" t="s">
        <v>33</v>
      </c>
      <c r="P45" s="6">
        <f>(SQRT(P38^2 + P39^2 + P40^2 + P41^2 + P42^2 + P43^2 + P44^2) / P37)*100</f>
        <v>30.989711304290914</v>
      </c>
      <c r="Q45" s="6">
        <f t="shared" ref="Q45:T45" si="118">(SQRT(Q38^2 + Q39^2 + Q40^2 + Q41^2 + Q42^2 + Q43^2 + Q44^2) / Q37)*100</f>
        <v>22.095548003342842</v>
      </c>
      <c r="R45" s="6">
        <f t="shared" si="118"/>
        <v>9.5942972320558901</v>
      </c>
      <c r="S45" s="6">
        <f t="shared" si="118"/>
        <v>1.1863218544948951E-15</v>
      </c>
      <c r="T45" s="6">
        <f t="shared" si="118"/>
        <v>3.5804327396420078E-15</v>
      </c>
      <c r="V45" s="1" t="s">
        <v>33</v>
      </c>
      <c r="W45" s="6">
        <f>(SQRT(W38^2 + W39^2 + W40^2 + W41^2 + W42^2 + W43^2 + W44^2) / W37)*100</f>
        <v>31.348069583918797</v>
      </c>
      <c r="X45" s="6">
        <f t="shared" ref="X45:AA45" si="119">(SQRT(X38^2 + X39^2 + X40^2 + X41^2 + X42^2 + X43^2 + X44^2) / X37)*100</f>
        <v>24.653639811431336</v>
      </c>
      <c r="Y45" s="6">
        <f t="shared" si="119"/>
        <v>2.726783613901272E-15</v>
      </c>
      <c r="Z45" s="6">
        <f t="shared" si="119"/>
        <v>1.1863218544948941E-15</v>
      </c>
      <c r="AA45" s="6">
        <f t="shared" si="119"/>
        <v>3.5804327396420102E-15</v>
      </c>
      <c r="AC45" s="1" t="s">
        <v>33</v>
      </c>
      <c r="AD45" s="6">
        <f>(SQRT(AD38^2 + AD39^2 + AD40^2 + AD41^2 + AD42^2 + AD43^2 + AD44^2) / AD37)*100</f>
        <v>30.9897113042909</v>
      </c>
      <c r="AE45" s="6">
        <f t="shared" ref="AE45:AH45" si="120">(SQRT(AE38^2 + AE39^2 + AE40^2 + AE41^2 + AE42^2 + AE43^2 + AE44^2) / AE37)*100</f>
        <v>22.095548003342845</v>
      </c>
      <c r="AF45" s="6">
        <f t="shared" si="120"/>
        <v>9.5942972320558884</v>
      </c>
      <c r="AG45" s="6">
        <f t="shared" si="120"/>
        <v>1.1863218544948945E-15</v>
      </c>
      <c r="AH45" s="6">
        <f t="shared" si="120"/>
        <v>3.5804327396420149E-15</v>
      </c>
    </row>
  </sheetData>
  <mergeCells count="5">
    <mergeCell ref="A12:F12"/>
    <mergeCell ref="H12:M12"/>
    <mergeCell ref="O12:T12"/>
    <mergeCell ref="V12:AA12"/>
    <mergeCell ref="AC12:AH1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53757-3CF0-4E4B-8DDA-2B5EED0DCAED}">
  <dimension ref="A1:F36"/>
  <sheetViews>
    <sheetView tabSelected="1" topLeftCell="A12" workbookViewId="0">
      <selection activeCell="H32" sqref="H32"/>
    </sheetView>
  </sheetViews>
  <sheetFormatPr defaultRowHeight="14.25" x14ac:dyDescent="0.45"/>
  <cols>
    <col min="2" max="2" width="11.796875" bestFit="1" customWidth="1"/>
    <col min="3" max="6" width="10.265625" bestFit="1" customWidth="1"/>
  </cols>
  <sheetData>
    <row r="1" spans="1:6" x14ac:dyDescent="0.45">
      <c r="A1" s="1" t="s">
        <v>0</v>
      </c>
      <c r="B1" s="2">
        <v>15</v>
      </c>
    </row>
    <row r="2" spans="1:6" x14ac:dyDescent="0.45">
      <c r="A2" s="1" t="s">
        <v>1</v>
      </c>
      <c r="B2" s="2">
        <v>0.7</v>
      </c>
    </row>
    <row r="3" spans="1:6" x14ac:dyDescent="0.45">
      <c r="A3" s="1" t="s">
        <v>2</v>
      </c>
      <c r="B3" s="2">
        <v>6.2</v>
      </c>
    </row>
    <row r="4" spans="1:6" x14ac:dyDescent="0.45">
      <c r="A4" s="1" t="s">
        <v>14</v>
      </c>
      <c r="B4" s="2">
        <v>2.5000000000000001E-2</v>
      </c>
    </row>
    <row r="5" spans="1:6" x14ac:dyDescent="0.45">
      <c r="A5" s="1" t="s">
        <v>4</v>
      </c>
      <c r="B5" s="2">
        <v>470000</v>
      </c>
    </row>
    <row r="6" spans="1:6" x14ac:dyDescent="0.45">
      <c r="A6" s="1" t="s">
        <v>10</v>
      </c>
      <c r="B6" s="2">
        <v>1000</v>
      </c>
    </row>
    <row r="7" spans="1:6" x14ac:dyDescent="0.45">
      <c r="A7" s="1" t="s">
        <v>7</v>
      </c>
      <c r="B7" s="2">
        <v>380</v>
      </c>
    </row>
    <row r="10" spans="1:6" x14ac:dyDescent="0.45">
      <c r="A10" s="1" t="s">
        <v>11</v>
      </c>
      <c r="B10" s="1">
        <v>250</v>
      </c>
      <c r="C10" s="1">
        <v>500</v>
      </c>
      <c r="D10" s="1">
        <v>1000</v>
      </c>
      <c r="E10" s="1">
        <v>1500</v>
      </c>
      <c r="F10" s="1">
        <v>2000</v>
      </c>
    </row>
    <row r="11" spans="1:6" x14ac:dyDescent="0.45">
      <c r="A11" s="1" t="s">
        <v>3</v>
      </c>
      <c r="B11" s="5">
        <f>($B$1-$B$2)/($B$5+(1+$B$7)*$B6)</f>
        <v>1.6803760282021152E-5</v>
      </c>
      <c r="C11" s="5">
        <f t="shared" ref="C11:F11" si="0">($B$1-$B$2)/($B$5+(1+$B$7)*$B6)</f>
        <v>1.6803760282021152E-5</v>
      </c>
      <c r="D11" s="5">
        <f t="shared" si="0"/>
        <v>1.6803760282021152E-5</v>
      </c>
      <c r="E11" s="5">
        <f t="shared" si="0"/>
        <v>1.6803760282021152E-5</v>
      </c>
      <c r="F11" s="5">
        <f t="shared" si="0"/>
        <v>1.6803760282021152E-5</v>
      </c>
    </row>
    <row r="12" spans="1:6" x14ac:dyDescent="0.45">
      <c r="A12" s="1" t="s">
        <v>5</v>
      </c>
      <c r="B12" s="6">
        <f>B11*$B$7</f>
        <v>6.385428907168038E-3</v>
      </c>
      <c r="C12" s="6">
        <f t="shared" ref="C12:F12" si="1">C11*$B$7</f>
        <v>6.385428907168038E-3</v>
      </c>
      <c r="D12" s="6">
        <f t="shared" si="1"/>
        <v>6.385428907168038E-3</v>
      </c>
      <c r="E12" s="6">
        <f t="shared" si="1"/>
        <v>6.385428907168038E-3</v>
      </c>
      <c r="F12" s="6">
        <f t="shared" si="1"/>
        <v>6.385428907168038E-3</v>
      </c>
    </row>
    <row r="13" spans="1:6" x14ac:dyDescent="0.45">
      <c r="A13" s="1" t="s">
        <v>6</v>
      </c>
      <c r="B13" s="6">
        <f>$B$1-$B$6*B12</f>
        <v>8.6145710928319623</v>
      </c>
      <c r="C13" s="6">
        <f t="shared" ref="C13:F13" si="2">$B$1-$B$6*C12</f>
        <v>8.6145710928319623</v>
      </c>
      <c r="D13" s="6">
        <f t="shared" si="2"/>
        <v>8.6145710928319623</v>
      </c>
      <c r="E13" s="6">
        <f t="shared" si="2"/>
        <v>8.6145710928319623</v>
      </c>
      <c r="F13" s="6">
        <f t="shared" si="2"/>
        <v>8.6145710928319623</v>
      </c>
    </row>
    <row r="14" spans="1:6" x14ac:dyDescent="0.45">
      <c r="A14" s="1" t="s">
        <v>9</v>
      </c>
      <c r="B14" s="6">
        <f>($B$6*B$10)/($B$6+B$10)</f>
        <v>200</v>
      </c>
      <c r="C14" s="6">
        <f t="shared" ref="C14:F14" si="3">($B$6*C$10)/($B$6+C$10)</f>
        <v>333.33333333333331</v>
      </c>
      <c r="D14" s="6">
        <f t="shared" si="3"/>
        <v>500</v>
      </c>
      <c r="E14" s="6">
        <f t="shared" si="3"/>
        <v>600</v>
      </c>
      <c r="F14" s="6">
        <f t="shared" si="3"/>
        <v>666.66666666666663</v>
      </c>
    </row>
    <row r="15" spans="1:6" x14ac:dyDescent="0.45">
      <c r="A15" s="1" t="s">
        <v>13</v>
      </c>
      <c r="B15" s="6">
        <f>$B$4/B11</f>
        <v>1487.7622377622379</v>
      </c>
      <c r="C15" s="6">
        <f t="shared" ref="C15:F15" si="4">$B$4/C11</f>
        <v>1487.7622377622379</v>
      </c>
      <c r="D15" s="6">
        <f t="shared" si="4"/>
        <v>1487.7622377622379</v>
      </c>
      <c r="E15" s="6">
        <f t="shared" si="4"/>
        <v>1487.7622377622379</v>
      </c>
      <c r="F15" s="6">
        <f t="shared" si="4"/>
        <v>1487.7622377622379</v>
      </c>
    </row>
    <row r="16" spans="1:6" x14ac:dyDescent="0.45">
      <c r="A16" s="1" t="s">
        <v>8</v>
      </c>
      <c r="B16" s="6">
        <f>((1+$B$7)*B14)/(B15+(1+$B$7)*B14)</f>
        <v>0.98084946464014555</v>
      </c>
      <c r="C16" s="6">
        <f t="shared" ref="C16:F16" si="5">((1+$B$7)*C14)/(C15+(1+$B$7)*C14)</f>
        <v>0.98842098101911702</v>
      </c>
      <c r="D16" s="6">
        <f t="shared" si="5"/>
        <v>0.99225074442026273</v>
      </c>
      <c r="E16" s="6">
        <f t="shared" si="5"/>
        <v>0.99353393581956406</v>
      </c>
      <c r="F16" s="6">
        <f t="shared" si="5"/>
        <v>0.99417677690418027</v>
      </c>
    </row>
    <row r="17" spans="1:6" x14ac:dyDescent="0.45">
      <c r="A17" s="1" t="s">
        <v>34</v>
      </c>
      <c r="B17" s="6">
        <f>B14*B12</f>
        <v>1.2770857814336076</v>
      </c>
      <c r="C17" s="6">
        <f t="shared" ref="C17:F17" si="6">C14*C12</f>
        <v>2.128476302389346</v>
      </c>
      <c r="D17" s="6">
        <f t="shared" si="6"/>
        <v>3.1927144535840188</v>
      </c>
      <c r="E17" s="6">
        <f t="shared" si="6"/>
        <v>3.8312573443008229</v>
      </c>
      <c r="F17" s="6">
        <f t="shared" si="6"/>
        <v>4.2569526047786921</v>
      </c>
    </row>
    <row r="18" spans="1:6" x14ac:dyDescent="0.45">
      <c r="A18" s="7" t="s">
        <v>37</v>
      </c>
      <c r="B18" s="6">
        <f>B14*B12</f>
        <v>1.2770857814336076</v>
      </c>
      <c r="C18" s="6">
        <f t="shared" ref="C18:F18" si="7">C14*C12</f>
        <v>2.128476302389346</v>
      </c>
      <c r="D18" s="6">
        <f t="shared" si="7"/>
        <v>3.1927144535840188</v>
      </c>
      <c r="E18" s="6">
        <f t="shared" si="7"/>
        <v>3.8312573443008229</v>
      </c>
      <c r="F18" s="6">
        <f t="shared" si="7"/>
        <v>4.2569526047786921</v>
      </c>
    </row>
    <row r="19" spans="1:6" x14ac:dyDescent="0.45">
      <c r="A19" s="1" t="s">
        <v>35</v>
      </c>
      <c r="B19" s="6">
        <f>$B$3*B16</f>
        <v>6.0812666807689029</v>
      </c>
      <c r="C19" s="6">
        <f t="shared" ref="C19:F19" si="8">$B$3*C16</f>
        <v>6.1282100823185255</v>
      </c>
      <c r="D19" s="6">
        <f t="shared" si="8"/>
        <v>6.1519546154056295</v>
      </c>
      <c r="E19" s="6">
        <f t="shared" si="8"/>
        <v>6.1599104020812971</v>
      </c>
      <c r="F19" s="6">
        <f t="shared" si="8"/>
        <v>6.1638960168059178</v>
      </c>
    </row>
    <row r="20" spans="1:6" x14ac:dyDescent="0.45">
      <c r="A20" s="1" t="s">
        <v>21</v>
      </c>
      <c r="B20" s="6">
        <f>$B$1*B12</f>
        <v>9.5781433607520575E-2</v>
      </c>
      <c r="C20" s="6">
        <f t="shared" ref="C20:F20" si="9">$B$1*C12</f>
        <v>9.5781433607520575E-2</v>
      </c>
      <c r="D20" s="6">
        <f t="shared" si="9"/>
        <v>9.5781433607520575E-2</v>
      </c>
      <c r="E20" s="6">
        <f t="shared" si="9"/>
        <v>9.5781433607520575E-2</v>
      </c>
      <c r="F20" s="6">
        <f t="shared" si="9"/>
        <v>9.5781433607520575E-2</v>
      </c>
    </row>
    <row r="21" spans="1:6" x14ac:dyDescent="0.45">
      <c r="A21" s="1" t="s">
        <v>22</v>
      </c>
      <c r="B21" s="6">
        <f>B19^2/(2*B10)</f>
        <v>7.396360888526006E-2</v>
      </c>
      <c r="C21" s="6">
        <f t="shared" ref="C21:F21" si="10">C19^2/(2*C10)</f>
        <v>3.7554958813030434E-2</v>
      </c>
      <c r="D21" s="6">
        <f t="shared" si="10"/>
        <v>1.8923272795005313E-2</v>
      </c>
      <c r="E21" s="6">
        <f t="shared" si="10"/>
        <v>1.2648165387223123E-2</v>
      </c>
      <c r="F21" s="6">
        <f t="shared" si="10"/>
        <v>9.498403526498965E-3</v>
      </c>
    </row>
    <row r="22" spans="1:6" x14ac:dyDescent="0.45">
      <c r="A22" s="1" t="s">
        <v>20</v>
      </c>
      <c r="B22" s="6">
        <f>(B21/B20)*100</f>
        <v>77.221238082881001</v>
      </c>
      <c r="C22" s="6">
        <f t="shared" ref="C22:F22" si="11">(C21/C20)*100</f>
        <v>39.20901723701251</v>
      </c>
      <c r="D22" s="6">
        <f t="shared" si="11"/>
        <v>19.756723283706933</v>
      </c>
      <c r="E22" s="6">
        <f t="shared" si="11"/>
        <v>13.205237080759263</v>
      </c>
      <c r="F22" s="6">
        <f t="shared" si="11"/>
        <v>9.9167481303528628</v>
      </c>
    </row>
    <row r="26" spans="1:6" x14ac:dyDescent="0.45">
      <c r="A26" s="1" t="s">
        <v>23</v>
      </c>
      <c r="B26" s="6">
        <f>IF(B17&gt;=B19, PI()/2, ASIN(B17/B19))</f>
        <v>0.21157828629706418</v>
      </c>
      <c r="C26" s="6">
        <f t="shared" ref="C26:F26" si="12">IF(C17&gt;=C19, PI()/2, ASIN(C17/C19))</f>
        <v>0.35471626074114582</v>
      </c>
      <c r="D26" s="6">
        <f t="shared" si="12"/>
        <v>0.54565211180379858</v>
      </c>
      <c r="E26" s="6">
        <f t="shared" si="12"/>
        <v>0.67125144173597262</v>
      </c>
      <c r="F26" s="6">
        <f t="shared" si="12"/>
        <v>0.76235556912014169</v>
      </c>
    </row>
    <row r="27" spans="1:6" x14ac:dyDescent="0.45">
      <c r="A27" s="1" t="s">
        <v>24</v>
      </c>
      <c r="B27" s="6">
        <f>PI() - B26</f>
        <v>2.930014367292729</v>
      </c>
      <c r="C27" s="6">
        <f t="shared" ref="C27:F27" si="13">PI() - C26</f>
        <v>2.7868763928486473</v>
      </c>
      <c r="D27" s="6">
        <f t="shared" si="13"/>
        <v>2.5959405417859944</v>
      </c>
      <c r="E27" s="6">
        <f t="shared" si="13"/>
        <v>2.4703412118538206</v>
      </c>
      <c r="F27" s="6">
        <f t="shared" si="13"/>
        <v>2.3792370844696515</v>
      </c>
    </row>
    <row r="28" spans="1:6" x14ac:dyDescent="0.45">
      <c r="A28" s="1">
        <v>1</v>
      </c>
      <c r="B28" s="6">
        <f xml:space="preserve"> (1/PI())*(B19*(PI()/2 + B26 - SIN(2*B26)/2) + 2*B18*COS(B26))</f>
        <v>3.8476353640929055</v>
      </c>
      <c r="C28" s="6">
        <f t="shared" ref="C28:F28" si="14" xml:space="preserve"> (1/PI())*(C19*(PI()/2 + C26 - SIN(2*C26)/2) + 2*C18*COS(C26))</f>
        <v>4.3913757593559266</v>
      </c>
      <c r="D28" s="6">
        <f t="shared" si="14"/>
        <v>5.0131871974652622</v>
      </c>
      <c r="E28" s="6">
        <f t="shared" si="14"/>
        <v>5.351061710335224</v>
      </c>
      <c r="F28" s="6">
        <f t="shared" si="14"/>
        <v>5.5576847164327043</v>
      </c>
    </row>
    <row r="29" spans="1:6" x14ac:dyDescent="0.45">
      <c r="A29" s="1">
        <v>2</v>
      </c>
      <c r="B29" s="6">
        <f>(2/PI()) * ABS( (B19 * COS(B26))/2 - (B19 * COS(3*B26))/6 - (B18 * SIN(2*B26))/2 )</f>
        <v>1.2060649005455608</v>
      </c>
      <c r="C29" s="6">
        <f t="shared" ref="C29:F29" si="15">(2/PI()) * ABS( (C19 * COS(C26))/2 - (C19 * COS(3*C26))/6 - (C18 * SIN(2*C26))/2 )</f>
        <v>1.0723755179410071</v>
      </c>
      <c r="D29" s="6">
        <f t="shared" si="15"/>
        <v>0.81535892617905104</v>
      </c>
      <c r="E29" s="6">
        <f t="shared" si="15"/>
        <v>0.62761257472296839</v>
      </c>
      <c r="F29" s="6">
        <f t="shared" si="15"/>
        <v>0.49477711069170843</v>
      </c>
    </row>
    <row r="30" spans="1:6" x14ac:dyDescent="0.45">
      <c r="A30" s="1">
        <v>3</v>
      </c>
      <c r="B30" s="6">
        <f>(2/PI()) * ABS((B19 * SIN(2*B26))/4 - (B19 * SIN(4*B26))/8 + (B18 * COS(3*B26))/3)</f>
        <v>0.2532775516725288</v>
      </c>
      <c r="C30" s="6">
        <f t="shared" ref="C30:F30" si="16">(2/PI()) * ABS((C19 * SIN(2*C26))/4 - (C19 * SIN(4*C26))/8 + (C18 * COS(3*C26))/3)</f>
        <v>0.37246208053239122</v>
      </c>
      <c r="D30" s="6">
        <f t="shared" si="16"/>
        <v>0.42315140328761347</v>
      </c>
      <c r="E30" s="6">
        <f t="shared" si="16"/>
        <v>0.39035393850379357</v>
      </c>
      <c r="F30" s="6">
        <f t="shared" si="16"/>
        <v>0.34170639874541248</v>
      </c>
    </row>
    <row r="31" spans="1:6" x14ac:dyDescent="0.45">
      <c r="A31" s="1">
        <v>4</v>
      </c>
      <c r="B31" s="6">
        <f>(2/PI()) * ABS((B19 * COS(3*B26))/6 - (B19 * COS(5*B26))/10 - (B18 * SIN(4*B26))/4)</f>
        <v>0.17738604858771967</v>
      </c>
      <c r="C31" s="6">
        <f t="shared" ref="C31:F31" si="17">(2/PI()) * ABS((C19 * COS(3*C26))/6 - (C19 * COS(5*C26))/10 - (C18 * SIN(4*C26))/4)</f>
        <v>5.9236944066380852E-2</v>
      </c>
      <c r="D31" s="6">
        <f t="shared" si="17"/>
        <v>0.10045452842344184</v>
      </c>
      <c r="E31" s="6">
        <f t="shared" si="17"/>
        <v>0.1658219292727961</v>
      </c>
      <c r="F31" s="6">
        <f t="shared" si="17"/>
        <v>0.18423454866767608</v>
      </c>
    </row>
    <row r="32" spans="1:6" x14ac:dyDescent="0.45">
      <c r="A32" s="1">
        <v>5</v>
      </c>
      <c r="B32" s="6">
        <f>(2/PI()) * ABS((B19 * SIN(4*B26))/8 - (B19 * SIN(6*B26))/12 + (B18 * COS(5*B26))/5)</f>
        <v>0.13409471339326454</v>
      </c>
      <c r="C32" s="6">
        <f t="shared" ref="C32:F32" si="18">(2/PI()) * ABS((C19 * SIN(4*C26))/8 - (C19 * SIN(6*C26))/12 + (C18 * COS(5*C26))/5)</f>
        <v>0.15158660067946966</v>
      </c>
      <c r="D32" s="6">
        <f t="shared" si="18"/>
        <v>7.1539199691228864E-2</v>
      </c>
      <c r="E32" s="6">
        <f t="shared" si="18"/>
        <v>7.3962467138603957E-3</v>
      </c>
      <c r="F32" s="6">
        <f t="shared" si="18"/>
        <v>5.5747655617472316E-2</v>
      </c>
    </row>
    <row r="33" spans="1:6" x14ac:dyDescent="0.45">
      <c r="A33" s="1">
        <v>6</v>
      </c>
      <c r="B33" s="6">
        <f>(2/PI()) * ABS((B19 * COS(5*B26))/10 - (B19 * COS(7*B26))/14 - (B18 * SIN(6*B26))/6)</f>
        <v>3.5793555199097341E-2</v>
      </c>
      <c r="C33" s="6">
        <f t="shared" ref="C33:F33" si="19">(2/PI()) * ABS((C19 * COS(5*C26))/10 - (C19 * COS(7*C26))/14 - (C18 * SIN(6*C26))/6)</f>
        <v>4.9826610537369836E-2</v>
      </c>
      <c r="D33" s="6">
        <f t="shared" si="19"/>
        <v>9.609065565407722E-2</v>
      </c>
      <c r="E33" s="6">
        <f t="shared" si="19"/>
        <v>6.4494802547198443E-2</v>
      </c>
      <c r="F33" s="6">
        <f t="shared" si="19"/>
        <v>2.3956474498384329E-2</v>
      </c>
    </row>
    <row r="34" spans="1:6" x14ac:dyDescent="0.45">
      <c r="A34" s="1">
        <v>7</v>
      </c>
      <c r="B34" s="6">
        <f>(2/PI()) * ABS((B19 * SIN(6*B26))/12 - (B19 * SIN(8*B26))/16 + (B18 * COS(7*B26))/7)</f>
        <v>7.8322501204670741E-2</v>
      </c>
      <c r="C34" s="6">
        <f t="shared" ref="C34:F34" si="20">(2/PI()) * ABS((C19 * SIN(6*C26))/12 - (C19 * SIN(8*C26))/16 + (C18 * COS(7*C26))/7)</f>
        <v>4.9834311091837523E-2</v>
      </c>
      <c r="D34" s="6">
        <f t="shared" si="20"/>
        <v>3.9033461378100806E-2</v>
      </c>
      <c r="E34" s="6">
        <f t="shared" si="20"/>
        <v>6.3868524336633911E-2</v>
      </c>
      <c r="F34" s="6">
        <f t="shared" si="20"/>
        <v>5.2691307590798861E-2</v>
      </c>
    </row>
    <row r="35" spans="1:6" x14ac:dyDescent="0.45">
      <c r="A35" s="1">
        <v>8</v>
      </c>
      <c r="B35" s="6">
        <f>(2/PI()) * ABS((B19 * COS(7*B26))/14 - (B19 * COS(9*B26))/18 - (B18 * SIN(8*B26))/8)</f>
        <v>5.7004382009424271E-3</v>
      </c>
      <c r="C35" s="6">
        <f t="shared" ref="C35:F35" si="21">(2/PI()) * ABS((C19 * COS(7*C26))/14 - (C19 * COS(9*C26))/18 - (C18 * SIN(8*C26))/8)</f>
        <v>5.4606044065555207E-2</v>
      </c>
      <c r="D35" s="6">
        <f t="shared" si="21"/>
        <v>2.187216349266391E-2</v>
      </c>
      <c r="E35" s="6">
        <f t="shared" si="21"/>
        <v>2.5962562253822329E-2</v>
      </c>
      <c r="F35" s="6">
        <f t="shared" si="21"/>
        <v>4.3297570456780961E-2</v>
      </c>
    </row>
    <row r="36" spans="1:6" x14ac:dyDescent="0.45">
      <c r="A36" s="1" t="s">
        <v>33</v>
      </c>
      <c r="B36" s="6">
        <f>(SQRT(B29^2 + B30^2 + B31^2 + B32^2 + B33^2 + B34^2 + B35^2) / B28)*100</f>
        <v>32.623775974722847</v>
      </c>
      <c r="C36" s="6">
        <f t="shared" ref="C36:F36" si="22">(SQRT(C29^2 + C30^2 + C31^2 + C32^2 + C33^2 + C34^2 + C35^2) / C28)*100</f>
        <v>26.194154774068945</v>
      </c>
      <c r="D36" s="6">
        <f t="shared" si="22"/>
        <v>18.609019148718925</v>
      </c>
      <c r="E36" s="6">
        <f t="shared" si="22"/>
        <v>14.265821228795605</v>
      </c>
      <c r="F36" s="6">
        <f t="shared" si="22"/>
        <v>11.434370494382486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SZE</vt:lpstr>
      <vt:lpstr>SZC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Majer</dc:creator>
  <cp:lastModifiedBy>Nikola Majer</cp:lastModifiedBy>
  <dcterms:created xsi:type="dcterms:W3CDTF">2026-05-24T17:34:11Z</dcterms:created>
  <dcterms:modified xsi:type="dcterms:W3CDTF">2026-06-09T20:10:53Z</dcterms:modified>
</cp:coreProperties>
</file>