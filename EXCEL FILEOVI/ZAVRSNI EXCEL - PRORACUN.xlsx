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3341e057c2d1b5/Documents/2526 - LJETNI SEMESTAR/Bachelor-Thesis/EXCEL FILEOVI/"/>
    </mc:Choice>
  </mc:AlternateContent>
  <xr:revisionPtr revIDLastSave="216" documentId="8_{2396A90B-B910-459B-ACE8-58213C55B081}" xr6:coauthVersionLast="47" xr6:coauthVersionMax="47" xr10:uidLastSave="{029D3724-F368-414F-B0B2-F419416753D7}"/>
  <bookViews>
    <workbookView xWindow="-98" yWindow="-98" windowWidth="21795" windowHeight="12975" xr2:uid="{B4FD3550-17E7-4D46-90CC-DFB7D5127C8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H19" i="1" l="1"/>
  <c r="AH18" i="1"/>
  <c r="AH20" i="1" s="1"/>
  <c r="AH22" i="1" s="1"/>
  <c r="AG18" i="1"/>
  <c r="AF18" i="1"/>
  <c r="AE18" i="1"/>
  <c r="AD18" i="1"/>
  <c r="AH16" i="1"/>
  <c r="AH17" i="1" s="1"/>
  <c r="AG16" i="1"/>
  <c r="AG17" i="1" s="1"/>
  <c r="AD16" i="1"/>
  <c r="AH15" i="1"/>
  <c r="AG15" i="1"/>
  <c r="AG19" i="1" s="1"/>
  <c r="AF15" i="1"/>
  <c r="AF16" i="1" s="1"/>
  <c r="AE15" i="1"/>
  <c r="AE16" i="1" s="1"/>
  <c r="AD15" i="1"/>
  <c r="AD19" i="1" s="1"/>
  <c r="AA19" i="1"/>
  <c r="Z19" i="1"/>
  <c r="Y19" i="1"/>
  <c r="AA18" i="1"/>
  <c r="AA20" i="1" s="1"/>
  <c r="AA22" i="1" s="1"/>
  <c r="Z18" i="1"/>
  <c r="Z20" i="1" s="1"/>
  <c r="Z22" i="1" s="1"/>
  <c r="Y18" i="1"/>
  <c r="Y20" i="1" s="1"/>
  <c r="Y22" i="1" s="1"/>
  <c r="X18" i="1"/>
  <c r="X20" i="1" s="1"/>
  <c r="X22" i="1" s="1"/>
  <c r="W18" i="1"/>
  <c r="AA17" i="1"/>
  <c r="AA16" i="1"/>
  <c r="Z16" i="1"/>
  <c r="Z17" i="1" s="1"/>
  <c r="Y16" i="1"/>
  <c r="Y17" i="1" s="1"/>
  <c r="X16" i="1"/>
  <c r="X17" i="1" s="1"/>
  <c r="AA15" i="1"/>
  <c r="Z15" i="1"/>
  <c r="Y15" i="1"/>
  <c r="X15" i="1"/>
  <c r="X19" i="1" s="1"/>
  <c r="W15" i="1"/>
  <c r="W16" i="1" s="1"/>
  <c r="T19" i="1"/>
  <c r="T18" i="1"/>
  <c r="T20" i="1" s="1"/>
  <c r="T22" i="1" s="1"/>
  <c r="S18" i="1"/>
  <c r="S20" i="1" s="1"/>
  <c r="S22" i="1" s="1"/>
  <c r="R18" i="1"/>
  <c r="Q18" i="1"/>
  <c r="P18" i="1"/>
  <c r="T16" i="1"/>
  <c r="T17" i="1" s="1"/>
  <c r="S16" i="1"/>
  <c r="S17" i="1" s="1"/>
  <c r="T15" i="1"/>
  <c r="S15" i="1"/>
  <c r="S19" i="1" s="1"/>
  <c r="R15" i="1"/>
  <c r="R16" i="1" s="1"/>
  <c r="Q15" i="1"/>
  <c r="Q16" i="1" s="1"/>
  <c r="P15" i="1"/>
  <c r="P16" i="1" s="1"/>
  <c r="F21" i="1"/>
  <c r="M19" i="1"/>
  <c r="I19" i="1"/>
  <c r="J18" i="1"/>
  <c r="K18" i="1"/>
  <c r="K20" i="1" s="1"/>
  <c r="K22" i="1" s="1"/>
  <c r="L18" i="1"/>
  <c r="M18" i="1"/>
  <c r="M20" i="1" s="1"/>
  <c r="M22" i="1" s="1"/>
  <c r="I18" i="1"/>
  <c r="I20" i="1" s="1"/>
  <c r="I22" i="1" s="1"/>
  <c r="M17" i="1"/>
  <c r="M16" i="1"/>
  <c r="M21" i="1" s="1"/>
  <c r="I16" i="1"/>
  <c r="J15" i="1"/>
  <c r="J16" i="1" s="1"/>
  <c r="K15" i="1"/>
  <c r="K19" i="1" s="1"/>
  <c r="L15" i="1"/>
  <c r="L16" i="1" s="1"/>
  <c r="M15" i="1"/>
  <c r="I15" i="1"/>
  <c r="F15" i="1"/>
  <c r="B15" i="1"/>
  <c r="C15" i="1"/>
  <c r="D15" i="1"/>
  <c r="E15" i="1"/>
  <c r="C19" i="1"/>
  <c r="D19" i="1"/>
  <c r="E19" i="1"/>
  <c r="E20" i="1" s="1"/>
  <c r="E22" i="1" s="1"/>
  <c r="F19" i="1"/>
  <c r="F20" i="1" s="1"/>
  <c r="F22" i="1" s="1"/>
  <c r="C18" i="1"/>
  <c r="C21" i="1" s="1"/>
  <c r="D18" i="1"/>
  <c r="E18" i="1"/>
  <c r="E21" i="1" s="1"/>
  <c r="F18" i="1"/>
  <c r="C17" i="1"/>
  <c r="D17" i="1"/>
  <c r="E17" i="1"/>
  <c r="F17" i="1"/>
  <c r="C16" i="1"/>
  <c r="D16" i="1"/>
  <c r="E16" i="1"/>
  <c r="F16" i="1"/>
  <c r="B19" i="1"/>
  <c r="B18" i="1"/>
  <c r="B21" i="1" s="1"/>
  <c r="B16" i="1"/>
  <c r="B17" i="1" s="1"/>
  <c r="D20" i="1" l="1"/>
  <c r="D22" i="1" s="1"/>
  <c r="C20" i="1"/>
  <c r="C22" i="1" s="1"/>
  <c r="D21" i="1"/>
  <c r="B20" i="1"/>
  <c r="B22" i="1" s="1"/>
  <c r="I21" i="1"/>
  <c r="AD20" i="1"/>
  <c r="AD22" i="1" s="1"/>
  <c r="AD21" i="1"/>
  <c r="AF17" i="1"/>
  <c r="AF21" i="1"/>
  <c r="AE21" i="1"/>
  <c r="AE17" i="1"/>
  <c r="AG20" i="1"/>
  <c r="AG22" i="1" s="1"/>
  <c r="AD17" i="1"/>
  <c r="AG21" i="1"/>
  <c r="AH21" i="1"/>
  <c r="AE19" i="1"/>
  <c r="AE20" i="1" s="1"/>
  <c r="AE22" i="1" s="1"/>
  <c r="AF19" i="1"/>
  <c r="AF20" i="1" s="1"/>
  <c r="AF22" i="1" s="1"/>
  <c r="AA21" i="1"/>
  <c r="W17" i="1"/>
  <c r="W21" i="1"/>
  <c r="X21" i="1"/>
  <c r="Y21" i="1"/>
  <c r="W19" i="1"/>
  <c r="W20" i="1" s="1"/>
  <c r="W22" i="1" s="1"/>
  <c r="Z21" i="1"/>
  <c r="P17" i="1"/>
  <c r="P21" i="1"/>
  <c r="Q21" i="1"/>
  <c r="Q17" i="1"/>
  <c r="R21" i="1"/>
  <c r="R17" i="1"/>
  <c r="S21" i="1"/>
  <c r="T21" i="1"/>
  <c r="P19" i="1"/>
  <c r="P20" i="1" s="1"/>
  <c r="P22" i="1" s="1"/>
  <c r="Q19" i="1"/>
  <c r="Q20" i="1" s="1"/>
  <c r="Q22" i="1" s="1"/>
  <c r="R19" i="1"/>
  <c r="R20" i="1" s="1"/>
  <c r="R22" i="1" s="1"/>
  <c r="I17" i="1"/>
  <c r="J21" i="1"/>
  <c r="J17" i="1"/>
  <c r="L21" i="1"/>
  <c r="L17" i="1"/>
  <c r="L19" i="1"/>
  <c r="L20" i="1" s="1"/>
  <c r="L22" i="1" s="1"/>
  <c r="K16" i="1"/>
  <c r="J19" i="1"/>
  <c r="J20" i="1" s="1"/>
  <c r="J22" i="1" s="1"/>
  <c r="K17" i="1" l="1"/>
  <c r="K21" i="1"/>
</calcChain>
</file>

<file path=xl/sharedStrings.xml><?xml version="1.0" encoding="utf-8"?>
<sst xmlns="http://schemas.openxmlformats.org/spreadsheetml/2006/main" count="62" uniqueCount="22">
  <si>
    <t>Ucc</t>
  </si>
  <si>
    <t>Ubeq</t>
  </si>
  <si>
    <t>Uul</t>
  </si>
  <si>
    <t>Ibq</t>
  </si>
  <si>
    <t>Rbb</t>
  </si>
  <si>
    <t>Icq</t>
  </si>
  <si>
    <t>Uceq</t>
  </si>
  <si>
    <t>hfe</t>
  </si>
  <si>
    <t>Av</t>
  </si>
  <si>
    <t>Rac</t>
  </si>
  <si>
    <t>Vclip</t>
  </si>
  <si>
    <t>Vmax</t>
  </si>
  <si>
    <t>Re</t>
  </si>
  <si>
    <t>Rt</t>
  </si>
  <si>
    <t>Rc</t>
  </si>
  <si>
    <t>hie</t>
  </si>
  <si>
    <t>Umt</t>
  </si>
  <si>
    <t>Rt = 2200 ohm</t>
  </si>
  <si>
    <t>Rt = 550 ohm</t>
  </si>
  <si>
    <t>Rt = 1100 ohm</t>
  </si>
  <si>
    <t>Rt = 3300 ohm</t>
  </si>
  <si>
    <t>Rt = 4400 ohm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</si>
</sst>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1" fontId="0" fillId="0" borderId="1" xfId="0" applyNumberFormat="1" applyBorder="1"/>
    <xf numFmtId="170" fontId="0" fillId="0" borderId="1" xfId="0" applyNumberFormat="1" applyBorder="1"/>
    <xf numFmtId="170" fontId="0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37755-7B05-4086-B92B-A6987546BB78}">
  <dimension ref="A1:AH22"/>
  <sheetViews>
    <sheetView tabSelected="1" topLeftCell="O4" workbookViewId="0">
      <selection activeCell="AD7" sqref="AD7"/>
    </sheetView>
  </sheetViews>
  <sheetFormatPr defaultRowHeight="14.25" x14ac:dyDescent="0.45"/>
  <cols>
    <col min="2" max="2" width="11.796875" bestFit="1" customWidth="1"/>
    <col min="3" max="3" width="10.86328125" bestFit="1" customWidth="1"/>
    <col min="4" max="4" width="10.46484375" bestFit="1" customWidth="1"/>
    <col min="5" max="5" width="11.796875" bestFit="1" customWidth="1"/>
    <col min="6" max="6" width="10.46484375" bestFit="1" customWidth="1"/>
    <col min="9" max="9" width="11.796875" bestFit="1" customWidth="1"/>
    <col min="10" max="13" width="10.86328125" bestFit="1" customWidth="1"/>
  </cols>
  <sheetData>
    <row r="1" spans="1:34" x14ac:dyDescent="0.45">
      <c r="A1" t="s">
        <v>0</v>
      </c>
      <c r="B1">
        <v>15</v>
      </c>
    </row>
    <row r="2" spans="1:34" x14ac:dyDescent="0.45">
      <c r="A2" t="s">
        <v>1</v>
      </c>
      <c r="B2">
        <v>0.7</v>
      </c>
    </row>
    <row r="3" spans="1:34" x14ac:dyDescent="0.45">
      <c r="A3" t="s">
        <v>2</v>
      </c>
      <c r="B3">
        <v>6.2</v>
      </c>
    </row>
    <row r="4" spans="1:34" x14ac:dyDescent="0.45">
      <c r="A4" t="s">
        <v>16</v>
      </c>
      <c r="B4">
        <v>2.5000000000000001E-2</v>
      </c>
    </row>
    <row r="5" spans="1:34" x14ac:dyDescent="0.45">
      <c r="A5" t="s">
        <v>4</v>
      </c>
      <c r="B5">
        <v>820000</v>
      </c>
    </row>
    <row r="6" spans="1:34" x14ac:dyDescent="0.45">
      <c r="A6" t="s">
        <v>14</v>
      </c>
      <c r="B6">
        <v>1000</v>
      </c>
    </row>
    <row r="7" spans="1:34" x14ac:dyDescent="0.45">
      <c r="A7" t="s">
        <v>7</v>
      </c>
      <c r="B7">
        <v>380</v>
      </c>
    </row>
    <row r="12" spans="1:34" x14ac:dyDescent="0.45">
      <c r="A12" s="1" t="s">
        <v>18</v>
      </c>
      <c r="B12" s="1"/>
      <c r="C12" s="1"/>
      <c r="D12" s="1"/>
      <c r="E12" s="1"/>
      <c r="F12" s="1"/>
      <c r="H12" s="1" t="s">
        <v>19</v>
      </c>
      <c r="I12" s="1"/>
      <c r="J12" s="1"/>
      <c r="K12" s="1"/>
      <c r="L12" s="1"/>
      <c r="M12" s="1"/>
      <c r="O12" s="1" t="s">
        <v>17</v>
      </c>
      <c r="P12" s="1"/>
      <c r="Q12" s="1"/>
      <c r="R12" s="1"/>
      <c r="S12" s="1"/>
      <c r="T12" s="1"/>
      <c r="V12" s="1" t="s">
        <v>20</v>
      </c>
      <c r="W12" s="1"/>
      <c r="X12" s="1"/>
      <c r="Y12" s="1"/>
      <c r="Z12" s="1"/>
      <c r="AA12" s="1"/>
      <c r="AC12" s="1" t="s">
        <v>21</v>
      </c>
      <c r="AD12" s="1"/>
      <c r="AE12" s="1"/>
      <c r="AF12" s="1"/>
      <c r="AG12" s="1"/>
      <c r="AH12" s="1"/>
    </row>
    <row r="13" spans="1:34" x14ac:dyDescent="0.45">
      <c r="A13" s="2" t="s">
        <v>12</v>
      </c>
      <c r="B13" s="3">
        <v>250</v>
      </c>
      <c r="C13" s="3">
        <v>500</v>
      </c>
      <c r="D13" s="3">
        <v>1000</v>
      </c>
      <c r="E13" s="3">
        <v>2000</v>
      </c>
      <c r="F13" s="3">
        <v>3000</v>
      </c>
      <c r="H13" s="2" t="s">
        <v>12</v>
      </c>
      <c r="I13" s="3">
        <v>250</v>
      </c>
      <c r="J13" s="3">
        <v>500</v>
      </c>
      <c r="K13" s="3">
        <v>1000</v>
      </c>
      <c r="L13" s="3">
        <v>2000</v>
      </c>
      <c r="M13" s="3">
        <v>3000</v>
      </c>
      <c r="O13" s="2" t="s">
        <v>12</v>
      </c>
      <c r="P13" s="3">
        <v>250</v>
      </c>
      <c r="Q13" s="3">
        <v>500</v>
      </c>
      <c r="R13" s="3">
        <v>1000</v>
      </c>
      <c r="S13" s="3">
        <v>2000</v>
      </c>
      <c r="T13" s="3">
        <v>3000</v>
      </c>
      <c r="V13" s="2" t="s">
        <v>12</v>
      </c>
      <c r="W13" s="3">
        <v>250</v>
      </c>
      <c r="X13" s="3">
        <v>500</v>
      </c>
      <c r="Y13" s="3">
        <v>1000</v>
      </c>
      <c r="Z13" s="3">
        <v>2000</v>
      </c>
      <c r="AA13" s="3">
        <v>3000</v>
      </c>
      <c r="AC13" s="2" t="s">
        <v>12</v>
      </c>
      <c r="AD13" s="3">
        <v>250</v>
      </c>
      <c r="AE13" s="3">
        <v>500</v>
      </c>
      <c r="AF13" s="3">
        <v>1000</v>
      </c>
      <c r="AG13" s="3">
        <v>2000</v>
      </c>
      <c r="AH13" s="3">
        <v>3000</v>
      </c>
    </row>
    <row r="14" spans="1:34" x14ac:dyDescent="0.45">
      <c r="A14" s="2" t="s">
        <v>13</v>
      </c>
      <c r="B14" s="3">
        <v>550</v>
      </c>
      <c r="C14" s="3">
        <v>550</v>
      </c>
      <c r="D14" s="3">
        <v>550</v>
      </c>
      <c r="E14" s="3">
        <v>550</v>
      </c>
      <c r="F14" s="3">
        <v>550</v>
      </c>
      <c r="H14" s="2" t="s">
        <v>13</v>
      </c>
      <c r="I14" s="3">
        <v>1100</v>
      </c>
      <c r="J14" s="3">
        <v>1100</v>
      </c>
      <c r="K14" s="3">
        <v>1100</v>
      </c>
      <c r="L14" s="3">
        <v>1100</v>
      </c>
      <c r="M14" s="3">
        <v>1100</v>
      </c>
      <c r="O14" s="2" t="s">
        <v>13</v>
      </c>
      <c r="P14" s="3">
        <v>2200</v>
      </c>
      <c r="Q14" s="3">
        <v>2200</v>
      </c>
      <c r="R14" s="3">
        <v>2200</v>
      </c>
      <c r="S14" s="3">
        <v>2200</v>
      </c>
      <c r="T14" s="3">
        <v>2200</v>
      </c>
      <c r="V14" s="2" t="s">
        <v>13</v>
      </c>
      <c r="W14" s="3">
        <v>3300</v>
      </c>
      <c r="X14" s="3">
        <v>3300</v>
      </c>
      <c r="Y14" s="3">
        <v>3300</v>
      </c>
      <c r="Z14" s="3">
        <v>3300</v>
      </c>
      <c r="AA14" s="3">
        <v>3300</v>
      </c>
      <c r="AC14" s="2" t="s">
        <v>13</v>
      </c>
      <c r="AD14" s="3">
        <v>4400</v>
      </c>
      <c r="AE14" s="3">
        <v>4400</v>
      </c>
      <c r="AF14" s="3">
        <v>4400</v>
      </c>
      <c r="AG14" s="3">
        <v>4400</v>
      </c>
      <c r="AH14" s="3">
        <v>4400</v>
      </c>
    </row>
    <row r="15" spans="1:34" x14ac:dyDescent="0.45">
      <c r="A15" s="2" t="s">
        <v>3</v>
      </c>
      <c r="B15" s="4">
        <f t="shared" ref="B15:D15" si="0">($B$1 - $B$2)/($B$5 + (1 + $B$7)* B13)</f>
        <v>1.5624146408085225E-5</v>
      </c>
      <c r="C15" s="4">
        <f t="shared" si="0"/>
        <v>1.4151410192973776E-5</v>
      </c>
      <c r="D15" s="4">
        <f t="shared" si="0"/>
        <v>1.1906744379683597E-5</v>
      </c>
      <c r="E15" s="4">
        <f>($B$1 - $B$2)/($B$5 + (1 + $B$7)* E13)</f>
        <v>9.0391908975979774E-6</v>
      </c>
      <c r="F15" s="4">
        <f>($B$1 - $B$2)/($B$5 + (1 + $B$7)* F13)</f>
        <v>7.2847682119205301E-6</v>
      </c>
      <c r="H15" s="2" t="s">
        <v>3</v>
      </c>
      <c r="I15" s="4">
        <f>($B$1 - $B$2)/($B$5 + (1 + $B$7)*I13)</f>
        <v>1.5624146408085225E-5</v>
      </c>
      <c r="J15" s="4">
        <f t="shared" ref="J15:M15" si="1">($B$1 - $B$2)/($B$5 + (1 + $B$7)*J13)</f>
        <v>1.4151410192973776E-5</v>
      </c>
      <c r="K15" s="4">
        <f t="shared" si="1"/>
        <v>1.1906744379683597E-5</v>
      </c>
      <c r="L15" s="4">
        <f t="shared" si="1"/>
        <v>9.0391908975979774E-6</v>
      </c>
      <c r="M15" s="4">
        <f t="shared" si="1"/>
        <v>7.2847682119205301E-6</v>
      </c>
      <c r="O15" s="2" t="s">
        <v>3</v>
      </c>
      <c r="P15" s="4">
        <f>($B$1 - $B$2)/($B$5 + (1 + $B$7)*P13)</f>
        <v>1.5624146408085225E-5</v>
      </c>
      <c r="Q15" s="4">
        <f t="shared" ref="Q15:T15" si="2">($B$1 - $B$2)/($B$5 + (1 + $B$7)*Q13)</f>
        <v>1.4151410192973776E-5</v>
      </c>
      <c r="R15" s="4">
        <f t="shared" si="2"/>
        <v>1.1906744379683597E-5</v>
      </c>
      <c r="S15" s="4">
        <f t="shared" si="2"/>
        <v>9.0391908975979774E-6</v>
      </c>
      <c r="T15" s="4">
        <f t="shared" si="2"/>
        <v>7.2847682119205301E-6</v>
      </c>
      <c r="V15" s="2" t="s">
        <v>3</v>
      </c>
      <c r="W15" s="4">
        <f>($B$1 - $B$2)/($B$5 + (1 + $B$7)*W13)</f>
        <v>1.5624146408085225E-5</v>
      </c>
      <c r="X15" s="4">
        <f t="shared" ref="X15:AA15" si="3">($B$1 - $B$2)/($B$5 + (1 + $B$7)*X13)</f>
        <v>1.4151410192973776E-5</v>
      </c>
      <c r="Y15" s="4">
        <f t="shared" si="3"/>
        <v>1.1906744379683597E-5</v>
      </c>
      <c r="Z15" s="4">
        <f t="shared" si="3"/>
        <v>9.0391908975979774E-6</v>
      </c>
      <c r="AA15" s="4">
        <f t="shared" si="3"/>
        <v>7.2847682119205301E-6</v>
      </c>
      <c r="AC15" s="2" t="s">
        <v>3</v>
      </c>
      <c r="AD15" s="4">
        <f>($B$1 - $B$2)/($B$5 + (1 + $B$7)*AD13)</f>
        <v>1.5624146408085225E-5</v>
      </c>
      <c r="AE15" s="4">
        <f t="shared" ref="AE15:AH15" si="4">($B$1 - $B$2)/($B$5 + (1 + $B$7)*AE13)</f>
        <v>1.4151410192973776E-5</v>
      </c>
      <c r="AF15" s="4">
        <f t="shared" si="4"/>
        <v>1.1906744379683597E-5</v>
      </c>
      <c r="AG15" s="4">
        <f t="shared" si="4"/>
        <v>9.0391908975979774E-6</v>
      </c>
      <c r="AH15" s="4">
        <f t="shared" si="4"/>
        <v>7.2847682119205301E-6</v>
      </c>
    </row>
    <row r="16" spans="1:34" x14ac:dyDescent="0.45">
      <c r="A16" s="2" t="s">
        <v>5</v>
      </c>
      <c r="B16" s="4">
        <f>$B$7*B15</f>
        <v>5.9371756350723856E-3</v>
      </c>
      <c r="C16" s="4">
        <f t="shared" ref="C16:F16" si="5">$B$7*C15</f>
        <v>5.3775358733300352E-3</v>
      </c>
      <c r="D16" s="4">
        <f t="shared" si="5"/>
        <v>4.5245628642797669E-3</v>
      </c>
      <c r="E16" s="4">
        <f t="shared" si="5"/>
        <v>3.4348925410872316E-3</v>
      </c>
      <c r="F16" s="4">
        <f t="shared" si="5"/>
        <v>2.7682119205298013E-3</v>
      </c>
      <c r="H16" s="2" t="s">
        <v>5</v>
      </c>
      <c r="I16" s="4">
        <f>$B$7 *I15</f>
        <v>5.9371756350723856E-3</v>
      </c>
      <c r="J16" s="4">
        <f t="shared" ref="J16:M16" si="6">$B$7 *J15</f>
        <v>5.3775358733300352E-3</v>
      </c>
      <c r="K16" s="4">
        <f t="shared" si="6"/>
        <v>4.5245628642797669E-3</v>
      </c>
      <c r="L16" s="4">
        <f t="shared" si="6"/>
        <v>3.4348925410872316E-3</v>
      </c>
      <c r="M16" s="4">
        <f t="shared" si="6"/>
        <v>2.7682119205298013E-3</v>
      </c>
      <c r="O16" s="2" t="s">
        <v>5</v>
      </c>
      <c r="P16" s="4">
        <f>$B$7 *P15</f>
        <v>5.9371756350723856E-3</v>
      </c>
      <c r="Q16" s="4">
        <f t="shared" ref="Q16" si="7">$B$7 *Q15</f>
        <v>5.3775358733300352E-3</v>
      </c>
      <c r="R16" s="4">
        <f t="shared" ref="R16" si="8">$B$7 *R15</f>
        <v>4.5245628642797669E-3</v>
      </c>
      <c r="S16" s="4">
        <f t="shared" ref="S16" si="9">$B$7 *S15</f>
        <v>3.4348925410872316E-3</v>
      </c>
      <c r="T16" s="4">
        <f t="shared" ref="T16" si="10">$B$7 *T15</f>
        <v>2.7682119205298013E-3</v>
      </c>
      <c r="V16" s="2" t="s">
        <v>5</v>
      </c>
      <c r="W16" s="4">
        <f>$B$7 *W15</f>
        <v>5.9371756350723856E-3</v>
      </c>
      <c r="X16" s="4">
        <f t="shared" ref="X16" si="11">$B$7 *X15</f>
        <v>5.3775358733300352E-3</v>
      </c>
      <c r="Y16" s="4">
        <f t="shared" ref="Y16" si="12">$B$7 *Y15</f>
        <v>4.5245628642797669E-3</v>
      </c>
      <c r="Z16" s="4">
        <f t="shared" ref="Z16" si="13">$B$7 *Z15</f>
        <v>3.4348925410872316E-3</v>
      </c>
      <c r="AA16" s="4">
        <f t="shared" ref="AA16" si="14">$B$7 *AA15</f>
        <v>2.7682119205298013E-3</v>
      </c>
      <c r="AC16" s="2" t="s">
        <v>5</v>
      </c>
      <c r="AD16" s="4">
        <f>$B$7 *AD15</f>
        <v>5.9371756350723856E-3</v>
      </c>
      <c r="AE16" s="4">
        <f t="shared" ref="AE16" si="15">$B$7 *AE15</f>
        <v>5.3775358733300352E-3</v>
      </c>
      <c r="AF16" s="4">
        <f t="shared" ref="AF16" si="16">$B$7 *AF15</f>
        <v>4.5245628642797669E-3</v>
      </c>
      <c r="AG16" s="4">
        <f t="shared" ref="AG16" si="17">$B$7 *AG15</f>
        <v>3.4348925410872316E-3</v>
      </c>
      <c r="AH16" s="4">
        <f t="shared" ref="AH16" si="18">$B$7 *AH15</f>
        <v>2.7682119205298013E-3</v>
      </c>
    </row>
    <row r="17" spans="1:34" x14ac:dyDescent="0.45">
      <c r="A17" s="2" t="s">
        <v>6</v>
      </c>
      <c r="B17" s="5">
        <f>$B$1 - ($B$6 + B13)*B16</f>
        <v>7.5785304561595179</v>
      </c>
      <c r="C17" s="5">
        <f t="shared" ref="C17:F17" si="19">$B$1 - ($B$6 + C13)*C16</f>
        <v>6.9336961900049481</v>
      </c>
      <c r="D17" s="5">
        <f t="shared" si="19"/>
        <v>5.9508742714404654</v>
      </c>
      <c r="E17" s="5">
        <f t="shared" si="19"/>
        <v>4.6953223767383054</v>
      </c>
      <c r="F17" s="5">
        <f t="shared" si="19"/>
        <v>3.927152317880795</v>
      </c>
      <c r="H17" s="2" t="s">
        <v>6</v>
      </c>
      <c r="I17" s="6">
        <f>B1 - ($B$6 + I14)*I16</f>
        <v>2.5319311663479898</v>
      </c>
      <c r="J17" s="6">
        <f t="shared" ref="J17:M17" si="20">C1 - ($B$6 + J14)*J16</f>
        <v>-11.292825333993074</v>
      </c>
      <c r="K17" s="6">
        <f t="shared" si="20"/>
        <v>-9.5015820149875108</v>
      </c>
      <c r="L17" s="6">
        <f t="shared" si="20"/>
        <v>-7.2132743362831864</v>
      </c>
      <c r="M17" s="6">
        <f t="shared" si="20"/>
        <v>-5.8132450331125831</v>
      </c>
      <c r="O17" s="2" t="s">
        <v>6</v>
      </c>
      <c r="P17" s="6">
        <f>I1 - ($B$6 + P14)*P16</f>
        <v>-18.998962032231635</v>
      </c>
      <c r="Q17" s="6">
        <f t="shared" ref="Q17" si="21">J1 - ($B$6 + Q14)*Q16</f>
        <v>-17.208114794656112</v>
      </c>
      <c r="R17" s="6">
        <f t="shared" ref="R17" si="22">K1 - ($B$6 + R14)*R16</f>
        <v>-14.478601165695254</v>
      </c>
      <c r="S17" s="6">
        <f t="shared" ref="S17" si="23">L1 - ($B$6 + S14)*S16</f>
        <v>-10.991656131479141</v>
      </c>
      <c r="T17" s="6">
        <f t="shared" ref="T17" si="24">M1 - ($B$6 + T14)*T16</f>
        <v>-8.8582781456953636</v>
      </c>
      <c r="V17" s="2" t="s">
        <v>6</v>
      </c>
      <c r="W17" s="6">
        <f>P1 - ($B$6 + W14)*W16</f>
        <v>-25.529855230811258</v>
      </c>
      <c r="X17" s="6">
        <f t="shared" ref="X17" si="25">Q1 - ($B$6 + X14)*X16</f>
        <v>-23.123404255319151</v>
      </c>
      <c r="Y17" s="6">
        <f t="shared" ref="Y17" si="26">R1 - ($B$6 + Y14)*Y16</f>
        <v>-19.455620316402996</v>
      </c>
      <c r="Z17" s="6">
        <f t="shared" ref="Z17" si="27">S1 - ($B$6 + Z14)*Z16</f>
        <v>-14.770037926675096</v>
      </c>
      <c r="AA17" s="6">
        <f t="shared" ref="AA17" si="28">T1 - ($B$6 + AA14)*AA16</f>
        <v>-11.903311258278146</v>
      </c>
      <c r="AC17" s="2" t="s">
        <v>6</v>
      </c>
      <c r="AD17" s="6">
        <f>W1 - ($B$6 + AD14)*AD16</f>
        <v>-32.060748429390884</v>
      </c>
      <c r="AE17" s="6">
        <f t="shared" ref="AE17" si="29">X1 - ($B$6 + AE14)*AE16</f>
        <v>-29.038693715982191</v>
      </c>
      <c r="AF17" s="6">
        <f t="shared" ref="AF17" si="30">Y1 - ($B$6 + AF14)*AF16</f>
        <v>-24.432639467110739</v>
      </c>
      <c r="AG17" s="6">
        <f t="shared" ref="AG17" si="31">Z1 - ($B$6 + AG14)*AG16</f>
        <v>-18.548419721871049</v>
      </c>
      <c r="AH17" s="6">
        <f t="shared" ref="AH17" si="32">AA1 - ($B$6 + AH14)*AH16</f>
        <v>-14.948344370860926</v>
      </c>
    </row>
    <row r="18" spans="1:34" x14ac:dyDescent="0.45">
      <c r="A18" s="2" t="s">
        <v>9</v>
      </c>
      <c r="B18" s="6">
        <f>($B$6*B14)/($B$6+B14)</f>
        <v>354.83870967741933</v>
      </c>
      <c r="C18" s="6">
        <f t="shared" ref="C18:F18" si="33">($B$6*C14)/($B$6+C14)</f>
        <v>354.83870967741933</v>
      </c>
      <c r="D18" s="6">
        <f t="shared" si="33"/>
        <v>354.83870967741933</v>
      </c>
      <c r="E18" s="6">
        <f t="shared" si="33"/>
        <v>354.83870967741933</v>
      </c>
      <c r="F18" s="6">
        <f t="shared" si="33"/>
        <v>354.83870967741933</v>
      </c>
      <c r="H18" s="2" t="s">
        <v>9</v>
      </c>
      <c r="I18" s="6">
        <f>($B$6*I14)/($B$6+I14)</f>
        <v>523.80952380952385</v>
      </c>
      <c r="J18" s="6">
        <f t="shared" ref="J18:M18" si="34">($B$6*J14)/($B$6+J14)</f>
        <v>523.80952380952385</v>
      </c>
      <c r="K18" s="6">
        <f t="shared" si="34"/>
        <v>523.80952380952385</v>
      </c>
      <c r="L18" s="6">
        <f t="shared" si="34"/>
        <v>523.80952380952385</v>
      </c>
      <c r="M18" s="6">
        <f t="shared" si="34"/>
        <v>523.80952380952385</v>
      </c>
      <c r="O18" s="2" t="s">
        <v>9</v>
      </c>
      <c r="P18" s="6">
        <f>($B$6*P14)/($B$6+P14)</f>
        <v>687.5</v>
      </c>
      <c r="Q18" s="6">
        <f t="shared" ref="Q18:T18" si="35">($B$6*Q14)/($B$6+Q14)</f>
        <v>687.5</v>
      </c>
      <c r="R18" s="6">
        <f t="shared" si="35"/>
        <v>687.5</v>
      </c>
      <c r="S18" s="6">
        <f t="shared" si="35"/>
        <v>687.5</v>
      </c>
      <c r="T18" s="6">
        <f t="shared" si="35"/>
        <v>687.5</v>
      </c>
      <c r="V18" s="2" t="s">
        <v>9</v>
      </c>
      <c r="W18" s="6">
        <f>($B$6*W14)/($B$6+W14)</f>
        <v>767.44186046511629</v>
      </c>
      <c r="X18" s="6">
        <f t="shared" ref="X18:AA18" si="36">($B$6*X14)/($B$6+X14)</f>
        <v>767.44186046511629</v>
      </c>
      <c r="Y18" s="6">
        <f t="shared" si="36"/>
        <v>767.44186046511629</v>
      </c>
      <c r="Z18" s="6">
        <f t="shared" si="36"/>
        <v>767.44186046511629</v>
      </c>
      <c r="AA18" s="6">
        <f t="shared" si="36"/>
        <v>767.44186046511629</v>
      </c>
      <c r="AC18" s="2" t="s">
        <v>9</v>
      </c>
      <c r="AD18" s="6">
        <f>($B$6*AD14)/($B$6+AD14)</f>
        <v>814.81481481481478</v>
      </c>
      <c r="AE18" s="6">
        <f t="shared" ref="AE18:AH18" si="37">($B$6*AE14)/($B$6+AE14)</f>
        <v>814.81481481481478</v>
      </c>
      <c r="AF18" s="6">
        <f t="shared" si="37"/>
        <v>814.81481481481478</v>
      </c>
      <c r="AG18" s="6">
        <f t="shared" si="37"/>
        <v>814.81481481481478</v>
      </c>
      <c r="AH18" s="6">
        <f t="shared" si="37"/>
        <v>814.81481481481478</v>
      </c>
    </row>
    <row r="19" spans="1:34" x14ac:dyDescent="0.45">
      <c r="A19" s="2" t="s">
        <v>15</v>
      </c>
      <c r="B19" s="5">
        <f>$B$4/B15</f>
        <v>1600.0874125874125</v>
      </c>
      <c r="C19" s="5">
        <f t="shared" ref="C19:F19" si="38">$B$4/C15</f>
        <v>1766.6083916083917</v>
      </c>
      <c r="D19" s="5">
        <f t="shared" si="38"/>
        <v>2099.6503496503497</v>
      </c>
      <c r="E19" s="5">
        <f t="shared" si="38"/>
        <v>2765.734265734266</v>
      </c>
      <c r="F19" s="5">
        <f t="shared" si="38"/>
        <v>3431.818181818182</v>
      </c>
      <c r="H19" s="2" t="s">
        <v>15</v>
      </c>
      <c r="I19" s="6">
        <f>$B$4/I15</f>
        <v>1600.0874125874125</v>
      </c>
      <c r="J19" s="6">
        <f t="shared" ref="J19:M19" si="39">$B$4/J15</f>
        <v>1766.6083916083917</v>
      </c>
      <c r="K19" s="6">
        <f t="shared" si="39"/>
        <v>2099.6503496503497</v>
      </c>
      <c r="L19" s="6">
        <f t="shared" si="39"/>
        <v>2765.734265734266</v>
      </c>
      <c r="M19" s="6">
        <f t="shared" si="39"/>
        <v>3431.818181818182</v>
      </c>
      <c r="O19" s="2" t="s">
        <v>15</v>
      </c>
      <c r="P19" s="6">
        <f>$B$4/P15</f>
        <v>1600.0874125874125</v>
      </c>
      <c r="Q19" s="6">
        <f t="shared" ref="Q19:T19" si="40">$B$4/Q15</f>
        <v>1766.6083916083917</v>
      </c>
      <c r="R19" s="6">
        <f t="shared" si="40"/>
        <v>2099.6503496503497</v>
      </c>
      <c r="S19" s="6">
        <f t="shared" si="40"/>
        <v>2765.734265734266</v>
      </c>
      <c r="T19" s="6">
        <f t="shared" si="40"/>
        <v>3431.818181818182</v>
      </c>
      <c r="V19" s="2" t="s">
        <v>15</v>
      </c>
      <c r="W19" s="6">
        <f>$B$4/W15</f>
        <v>1600.0874125874125</v>
      </c>
      <c r="X19" s="6">
        <f t="shared" ref="X19:AA19" si="41">$B$4/X15</f>
        <v>1766.6083916083917</v>
      </c>
      <c r="Y19" s="6">
        <f t="shared" si="41"/>
        <v>2099.6503496503497</v>
      </c>
      <c r="Z19" s="6">
        <f t="shared" si="41"/>
        <v>2765.734265734266</v>
      </c>
      <c r="AA19" s="6">
        <f t="shared" si="41"/>
        <v>3431.818181818182</v>
      </c>
      <c r="AC19" s="2" t="s">
        <v>15</v>
      </c>
      <c r="AD19" s="6">
        <f>$B$4/AD15</f>
        <v>1600.0874125874125</v>
      </c>
      <c r="AE19" s="6">
        <f t="shared" ref="AE19:AH19" si="42">$B$4/AE15</f>
        <v>1766.6083916083917</v>
      </c>
      <c r="AF19" s="6">
        <f t="shared" si="42"/>
        <v>2099.6503496503497</v>
      </c>
      <c r="AG19" s="6">
        <f t="shared" si="42"/>
        <v>2765.734265734266</v>
      </c>
      <c r="AH19" s="6">
        <f t="shared" si="42"/>
        <v>3431.818181818182</v>
      </c>
    </row>
    <row r="20" spans="1:34" x14ac:dyDescent="0.45">
      <c r="A20" s="2" t="s">
        <v>8</v>
      </c>
      <c r="B20" s="6">
        <f>-$B$7*(B18/(B19 + (1 + $B$7)*B13))</f>
        <v>-1.3922414866080404</v>
      </c>
      <c r="C20" s="6">
        <f t="shared" ref="C20:F20" si="43">-$B$7*(C18/(C19 + (1 + $B$7)*C13))</f>
        <v>-0.70131111587915473</v>
      </c>
      <c r="D20" s="6">
        <f t="shared" si="43"/>
        <v>-0.35196771794062903</v>
      </c>
      <c r="E20" s="6">
        <f t="shared" si="43"/>
        <v>-0.1763137437203309</v>
      </c>
      <c r="F20" s="6">
        <f t="shared" si="43"/>
        <v>-0.11761598687243921</v>
      </c>
      <c r="H20" s="2" t="s">
        <v>8</v>
      </c>
      <c r="I20" s="6">
        <f>-$B$7*(I18/(I19 + (1+$B$7)*I13))</f>
        <v>-2.05521362308806</v>
      </c>
      <c r="J20" s="6">
        <f t="shared" ref="J20:M20" si="44">-$B$7*(J18/(J19 + (1+$B$7)*J13))</f>
        <v>-1.0352687901073239</v>
      </c>
      <c r="K20" s="6">
        <f t="shared" si="44"/>
        <v>-0.51957139315045253</v>
      </c>
      <c r="L20" s="6">
        <f t="shared" si="44"/>
        <v>-0.26027266930144088</v>
      </c>
      <c r="M20" s="6">
        <f t="shared" si="44"/>
        <v>-0.17362359966883886</v>
      </c>
      <c r="O20" s="2" t="s">
        <v>8</v>
      </c>
      <c r="P20" s="6">
        <f>-$B$7*(P18/(P19 + (1+$B$7)*P13))</f>
        <v>-2.697467880303078</v>
      </c>
      <c r="Q20" s="6">
        <f t="shared" ref="Q20" si="45">-$B$7*(Q18/(Q19 + (1+$B$7)*Q13))</f>
        <v>-1.3587902870158624</v>
      </c>
      <c r="R20" s="6">
        <f t="shared" ref="R20" si="46">-$B$7*(R18/(R19 + (1+$B$7)*R13))</f>
        <v>-0.68193745350996882</v>
      </c>
      <c r="S20" s="6">
        <f t="shared" ref="S20" si="47">-$B$7*(S18/(S19 + (1+$B$7)*S13))</f>
        <v>-0.34160787845814111</v>
      </c>
      <c r="T20" s="6">
        <f t="shared" ref="T20" si="48">-$B$7*(T18/(T19 + (1+$B$7)*T13))</f>
        <v>-0.227880974565351</v>
      </c>
      <c r="V20" s="2" t="s">
        <v>8</v>
      </c>
      <c r="W20" s="6">
        <f>-$B$7*(W18/(W19 + (1+$B$7)*W13))</f>
        <v>-3.011126936152273</v>
      </c>
      <c r="X20" s="6">
        <f t="shared" ref="X20" si="49">-$B$7*(X18/(X19 + (1+$B$7)*X13))</f>
        <v>-1.5167891575991022</v>
      </c>
      <c r="Y20" s="6">
        <f t="shared" ref="Y20" si="50">-$B$7*(Y18/(Y19 + (1+$B$7)*Y13))</f>
        <v>-0.76123250624368621</v>
      </c>
      <c r="Z20" s="6">
        <f t="shared" ref="Z20" si="51">-$B$7*(Z18/(Z19 + (1+$B$7)*Z13))</f>
        <v>-0.3813297247904831</v>
      </c>
      <c r="AA20" s="6">
        <f t="shared" ref="AA20" si="52">-$B$7*(AA18/(AA19 + (1+$B$7)*AA13))</f>
        <v>-0.2543787623055081</v>
      </c>
      <c r="AC20" s="2" t="s">
        <v>8</v>
      </c>
      <c r="AD20" s="6">
        <f>-$B$7*(AD18/(AD19 + (1+$B$7)*AD13))</f>
        <v>-3.1969989692480922</v>
      </c>
      <c r="AE20" s="6">
        <f t="shared" ref="AE20" si="53">-$B$7*(AE18/(AE19 + (1+$B$7)*AE13))</f>
        <v>-1.6104181179447259</v>
      </c>
      <c r="AF20" s="6">
        <f t="shared" ref="AF20" si="54">-$B$7*(AF18/(AF19 + (1+$B$7)*AF13))</f>
        <v>-0.80822216712292594</v>
      </c>
      <c r="AG20" s="6">
        <f t="shared" ref="AG20" si="55">-$B$7*(AG18/(AG19 + (1+$B$7)*AG13))</f>
        <v>-0.40486859669113018</v>
      </c>
      <c r="AH20" s="6">
        <f t="shared" ref="AH20" si="56">-$B$7*(AH18/(AH19 + (1+$B$7)*AH13))</f>
        <v>-0.27008115504041597</v>
      </c>
    </row>
    <row r="21" spans="1:34" x14ac:dyDescent="0.45">
      <c r="A21" s="2" t="s">
        <v>10</v>
      </c>
      <c r="B21" s="5">
        <f>B16*B18</f>
        <v>2.1067397414772979</v>
      </c>
      <c r="C21" s="5">
        <f t="shared" ref="C21:F21" si="57">C16*C18</f>
        <v>1.908157890536464</v>
      </c>
      <c r="D21" s="5">
        <f t="shared" si="57"/>
        <v>1.6054900486154011</v>
      </c>
      <c r="E21" s="5">
        <f t="shared" si="57"/>
        <v>1.2188328371599852</v>
      </c>
      <c r="F21" s="5">
        <f>F16*F18</f>
        <v>0.98226874599444558</v>
      </c>
      <c r="H21" s="2" t="s">
        <v>10</v>
      </c>
      <c r="I21" s="5">
        <f>I16*I18</f>
        <v>3.1099491421807737</v>
      </c>
      <c r="J21" s="5">
        <f t="shared" ref="J21:M21" si="58">J16*J18</f>
        <v>2.8168045050776378</v>
      </c>
      <c r="K21" s="5">
        <f t="shared" si="58"/>
        <v>2.37000911938464</v>
      </c>
      <c r="L21" s="5">
        <f t="shared" si="58"/>
        <v>1.7992294262837882</v>
      </c>
      <c r="M21" s="5">
        <f t="shared" si="58"/>
        <v>1.4500157678965626</v>
      </c>
      <c r="O21" s="2" t="s">
        <v>10</v>
      </c>
      <c r="P21" s="5">
        <f>P16*P18</f>
        <v>4.0818082491122647</v>
      </c>
      <c r="Q21" s="5">
        <f t="shared" ref="Q21:T21" si="59">Q16*Q18</f>
        <v>3.6970559129143994</v>
      </c>
      <c r="R21" s="5">
        <f t="shared" si="59"/>
        <v>3.1106369691923397</v>
      </c>
      <c r="S21" s="5">
        <f t="shared" si="59"/>
        <v>2.3614886219974718</v>
      </c>
      <c r="T21" s="5">
        <f t="shared" si="59"/>
        <v>1.9031456953642383</v>
      </c>
      <c r="V21" s="2" t="s">
        <v>10</v>
      </c>
      <c r="W21" s="5">
        <f>W16*W18</f>
        <v>4.5564371152881096</v>
      </c>
      <c r="X21" s="5">
        <f t="shared" ref="X21:AA21" si="60">X16*X18</f>
        <v>4.1269461353463059</v>
      </c>
      <c r="Y21" s="5">
        <f t="shared" si="60"/>
        <v>3.4723389423542397</v>
      </c>
      <c r="Z21" s="5">
        <f t="shared" si="60"/>
        <v>2.636080322229736</v>
      </c>
      <c r="AA21" s="5">
        <f t="shared" si="60"/>
        <v>2.1244417064531032</v>
      </c>
      <c r="AC21" s="2" t="s">
        <v>10</v>
      </c>
      <c r="AD21" s="5">
        <f>AD16*AD18</f>
        <v>4.8376986656145364</v>
      </c>
      <c r="AE21" s="5">
        <f t="shared" ref="AE21:AH21" si="61">AE16*AE18</f>
        <v>4.381695896787436</v>
      </c>
      <c r="AF21" s="5">
        <f t="shared" si="61"/>
        <v>3.6866808523761061</v>
      </c>
      <c r="AG21" s="5">
        <f t="shared" si="61"/>
        <v>2.7988013297747814</v>
      </c>
      <c r="AH21" s="5">
        <f t="shared" si="61"/>
        <v>2.2555800833946527</v>
      </c>
    </row>
    <row r="22" spans="1:34" x14ac:dyDescent="0.45">
      <c r="A22" s="2" t="s">
        <v>11</v>
      </c>
      <c r="B22" s="5">
        <f>ABS(B20)*$B$3</f>
        <v>8.6318972169698505</v>
      </c>
      <c r="C22" s="5">
        <f t="shared" ref="C22:F22" si="62">ABS(C20)*$B$3</f>
        <v>4.3481289184507599</v>
      </c>
      <c r="D22" s="5">
        <f t="shared" si="62"/>
        <v>2.1821998512318999</v>
      </c>
      <c r="E22" s="5">
        <f t="shared" si="62"/>
        <v>1.0931452110660516</v>
      </c>
      <c r="F22" s="5">
        <f t="shared" si="62"/>
        <v>0.72921911860912314</v>
      </c>
      <c r="H22" s="2" t="s">
        <v>11</v>
      </c>
      <c r="I22" s="5">
        <f>ABS(I20)*$B$3</f>
        <v>12.742324463145973</v>
      </c>
      <c r="J22" s="5">
        <f t="shared" ref="J22:M22" si="63">ABS(J20)*$B$3</f>
        <v>6.4186664986654085</v>
      </c>
      <c r="K22" s="5">
        <f t="shared" si="63"/>
        <v>3.2213426375328056</v>
      </c>
      <c r="L22" s="5">
        <f t="shared" si="63"/>
        <v>1.6136905496689335</v>
      </c>
      <c r="M22" s="5">
        <f t="shared" si="63"/>
        <v>1.076466317946801</v>
      </c>
      <c r="O22" s="2" t="s">
        <v>11</v>
      </c>
      <c r="P22" s="5">
        <f>ABS(P20)*$B$3</f>
        <v>16.724300857879083</v>
      </c>
      <c r="Q22" s="5">
        <f t="shared" ref="Q22:T22" si="64">ABS(Q20)*$B$3</f>
        <v>8.4244997794983476</v>
      </c>
      <c r="R22" s="5">
        <f t="shared" si="64"/>
        <v>4.2280122117618069</v>
      </c>
      <c r="S22" s="5">
        <f t="shared" si="64"/>
        <v>2.1179688464404749</v>
      </c>
      <c r="T22" s="5">
        <f t="shared" si="64"/>
        <v>1.4128620423051763</v>
      </c>
      <c r="V22" s="2" t="s">
        <v>11</v>
      </c>
      <c r="W22" s="5">
        <f>ABS(W20)*$B$3</f>
        <v>18.668987004144093</v>
      </c>
      <c r="X22" s="5">
        <f t="shared" ref="X22:AA22" si="65">ABS(X20)*$B$3</f>
        <v>9.4040927771144336</v>
      </c>
      <c r="Y22" s="5">
        <f t="shared" si="65"/>
        <v>4.7196415387108548</v>
      </c>
      <c r="Z22" s="5">
        <f t="shared" si="65"/>
        <v>2.3642442937009953</v>
      </c>
      <c r="AA22" s="5">
        <f t="shared" si="65"/>
        <v>1.5771483262941504</v>
      </c>
      <c r="AC22" s="2" t="s">
        <v>11</v>
      </c>
      <c r="AD22" s="5">
        <f>ABS(AD20)*$B$3</f>
        <v>19.821393609338173</v>
      </c>
      <c r="AE22" s="5">
        <f t="shared" ref="AE22:AH22" si="66">ABS(AE20)*$B$3</f>
        <v>9.9845923312572999</v>
      </c>
      <c r="AF22" s="5">
        <f t="shared" si="66"/>
        <v>5.0109774361621406</v>
      </c>
      <c r="AG22" s="5">
        <f t="shared" si="66"/>
        <v>2.5101852994850073</v>
      </c>
      <c r="AH22" s="5">
        <f t="shared" si="66"/>
        <v>1.674503161250579</v>
      </c>
    </row>
  </sheetData>
  <mergeCells count="5">
    <mergeCell ref="A12:F12"/>
    <mergeCell ref="H12:M12"/>
    <mergeCell ref="O12:T12"/>
    <mergeCell ref="V12:AA12"/>
    <mergeCell ref="AC12:AH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 Majer</dc:creator>
  <cp:lastModifiedBy>Nikola Majer</cp:lastModifiedBy>
  <dcterms:created xsi:type="dcterms:W3CDTF">2026-05-24T17:34:11Z</dcterms:created>
  <dcterms:modified xsi:type="dcterms:W3CDTF">2026-05-25T16:15:06Z</dcterms:modified>
</cp:coreProperties>
</file>