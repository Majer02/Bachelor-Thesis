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3341e057c2d1b5/Documents/2526 - LJETNI SEMESTAR/Bachelor-Thesis/EXCEL FILEOVI/"/>
    </mc:Choice>
  </mc:AlternateContent>
  <xr:revisionPtr revIDLastSave="424" documentId="8_{2396A90B-B910-459B-ACE8-58213C55B081}" xr6:coauthVersionLast="47" xr6:coauthVersionMax="47" xr10:uidLastSave="{12EDB751-A1B6-4F56-A525-9AB02C5CA31C}"/>
  <bookViews>
    <workbookView xWindow="-98" yWindow="-98" windowWidth="21795" windowHeight="12975" xr2:uid="{B4FD3550-17E7-4D46-90CC-DFB7D5127C87}"/>
  </bookViews>
  <sheets>
    <sheet name="S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4" i="1" l="1"/>
  <c r="AD25" i="1" s="1"/>
  <c r="W24" i="1"/>
  <c r="Q24" i="1"/>
  <c r="Q25" i="1" s="1"/>
  <c r="R24" i="1"/>
  <c r="R25" i="1" s="1"/>
  <c r="P24" i="1"/>
  <c r="P25" i="1" s="1"/>
  <c r="M24" i="1"/>
  <c r="M25" i="1" s="1"/>
  <c r="I24" i="1"/>
  <c r="I25" i="1" s="1"/>
  <c r="B25" i="1"/>
  <c r="AE27" i="1"/>
  <c r="AF27" i="1"/>
  <c r="AG27" i="1"/>
  <c r="AH27" i="1"/>
  <c r="AE28" i="1"/>
  <c r="AF28" i="1"/>
  <c r="AG28" i="1"/>
  <c r="AH28" i="1"/>
  <c r="AE29" i="1"/>
  <c r="AE24" i="1" s="1"/>
  <c r="AE25" i="1" s="1"/>
  <c r="AF29" i="1"/>
  <c r="AF24" i="1" s="1"/>
  <c r="AF25" i="1" s="1"/>
  <c r="AG29" i="1"/>
  <c r="AG24" i="1" s="1"/>
  <c r="AG25" i="1" s="1"/>
  <c r="AH29" i="1"/>
  <c r="AH24" i="1" s="1"/>
  <c r="AH25" i="1" s="1"/>
  <c r="AE30" i="1"/>
  <c r="AF30" i="1"/>
  <c r="AG30" i="1"/>
  <c r="AH30" i="1"/>
  <c r="AE31" i="1"/>
  <c r="AF31" i="1"/>
  <c r="AG31" i="1"/>
  <c r="AH31" i="1"/>
  <c r="AE32" i="1"/>
  <c r="AF32" i="1"/>
  <c r="AG32" i="1"/>
  <c r="AH32" i="1"/>
  <c r="AE33" i="1"/>
  <c r="AF33" i="1"/>
  <c r="AG33" i="1"/>
  <c r="AH33" i="1"/>
  <c r="AE34" i="1"/>
  <c r="AF34" i="1"/>
  <c r="AG34" i="1"/>
  <c r="AH34" i="1"/>
  <c r="AE35" i="1"/>
  <c r="AF35" i="1"/>
  <c r="AG35" i="1"/>
  <c r="AH35" i="1"/>
  <c r="AE36" i="1"/>
  <c r="AF36" i="1"/>
  <c r="AG36" i="1"/>
  <c r="AH36" i="1"/>
  <c r="Q27" i="1"/>
  <c r="Q28" i="1" s="1"/>
  <c r="R27" i="1"/>
  <c r="S27" i="1"/>
  <c r="T27" i="1"/>
  <c r="R28" i="1"/>
  <c r="S28" i="1"/>
  <c r="T28" i="1"/>
  <c r="Q29" i="1"/>
  <c r="R29" i="1"/>
  <c r="S29" i="1"/>
  <c r="S24" i="1" s="1"/>
  <c r="S25" i="1" s="1"/>
  <c r="T29" i="1"/>
  <c r="T24" i="1" s="1"/>
  <c r="T25" i="1" s="1"/>
  <c r="R30" i="1"/>
  <c r="S30" i="1"/>
  <c r="T30" i="1"/>
  <c r="Q31" i="1"/>
  <c r="R31" i="1"/>
  <c r="S31" i="1"/>
  <c r="T31" i="1"/>
  <c r="R32" i="1"/>
  <c r="S32" i="1"/>
  <c r="T32" i="1"/>
  <c r="Q33" i="1"/>
  <c r="R33" i="1"/>
  <c r="S33" i="1"/>
  <c r="T33" i="1"/>
  <c r="R34" i="1"/>
  <c r="S34" i="1"/>
  <c r="T34" i="1"/>
  <c r="Q35" i="1"/>
  <c r="R35" i="1"/>
  <c r="S35" i="1"/>
  <c r="T35" i="1"/>
  <c r="R36" i="1"/>
  <c r="S36" i="1"/>
  <c r="T36" i="1"/>
  <c r="X27" i="1"/>
  <c r="X28" i="1" s="1"/>
  <c r="X24" i="1" s="1"/>
  <c r="X25" i="1" s="1"/>
  <c r="Y27" i="1"/>
  <c r="Y28" i="1" s="1"/>
  <c r="Y24" i="1" s="1"/>
  <c r="Y25" i="1" s="1"/>
  <c r="Z27" i="1"/>
  <c r="AA27" i="1"/>
  <c r="Z28" i="1"/>
  <c r="Z24" i="1" s="1"/>
  <c r="Z25" i="1" s="1"/>
  <c r="AA28" i="1"/>
  <c r="AA24" i="1" s="1"/>
  <c r="AA25" i="1" s="1"/>
  <c r="X29" i="1"/>
  <c r="Y29" i="1"/>
  <c r="Z29" i="1"/>
  <c r="AA29" i="1"/>
  <c r="Z30" i="1"/>
  <c r="AA30" i="1"/>
  <c r="X31" i="1"/>
  <c r="Y31" i="1"/>
  <c r="Z31" i="1"/>
  <c r="AA31" i="1"/>
  <c r="Z32" i="1"/>
  <c r="AA32" i="1"/>
  <c r="X33" i="1"/>
  <c r="Y33" i="1"/>
  <c r="Z33" i="1"/>
  <c r="AA33" i="1"/>
  <c r="Z34" i="1"/>
  <c r="AA34" i="1"/>
  <c r="X35" i="1"/>
  <c r="Y35" i="1"/>
  <c r="Z35" i="1"/>
  <c r="AA35" i="1"/>
  <c r="Z36" i="1"/>
  <c r="AA36" i="1"/>
  <c r="AD34" i="1"/>
  <c r="AD33" i="1"/>
  <c r="AD32" i="1"/>
  <c r="AD31" i="1"/>
  <c r="AD30" i="1"/>
  <c r="AD27" i="1"/>
  <c r="AD29" i="1" s="1"/>
  <c r="W27" i="1"/>
  <c r="W29" i="1" s="1"/>
  <c r="P32" i="1"/>
  <c r="P31" i="1"/>
  <c r="P30" i="1"/>
  <c r="P27" i="1"/>
  <c r="P29" i="1" s="1"/>
  <c r="J29" i="1"/>
  <c r="J24" i="1" s="1"/>
  <c r="J25" i="1" s="1"/>
  <c r="K29" i="1"/>
  <c r="K24" i="1" s="1"/>
  <c r="K25" i="1" s="1"/>
  <c r="L29" i="1"/>
  <c r="L24" i="1" s="1"/>
  <c r="L25" i="1" s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I36" i="1"/>
  <c r="I35" i="1"/>
  <c r="I34" i="1"/>
  <c r="I33" i="1"/>
  <c r="I32" i="1"/>
  <c r="I31" i="1"/>
  <c r="I30" i="1"/>
  <c r="I29" i="1"/>
  <c r="J28" i="1"/>
  <c r="K28" i="1"/>
  <c r="L28" i="1"/>
  <c r="M28" i="1"/>
  <c r="I28" i="1"/>
  <c r="J27" i="1"/>
  <c r="K27" i="1"/>
  <c r="L27" i="1"/>
  <c r="M27" i="1"/>
  <c r="I27" i="1"/>
  <c r="C34" i="1"/>
  <c r="D34" i="1"/>
  <c r="E34" i="1"/>
  <c r="F34" i="1"/>
  <c r="C35" i="1"/>
  <c r="D35" i="1"/>
  <c r="E35" i="1"/>
  <c r="F35" i="1"/>
  <c r="C36" i="1"/>
  <c r="D36" i="1"/>
  <c r="E36" i="1"/>
  <c r="F36" i="1"/>
  <c r="B37" i="1"/>
  <c r="B36" i="1"/>
  <c r="B35" i="1"/>
  <c r="B34" i="1"/>
  <c r="C37" i="1"/>
  <c r="D37" i="1"/>
  <c r="E37" i="1"/>
  <c r="F37" i="1"/>
  <c r="C33" i="1"/>
  <c r="D33" i="1"/>
  <c r="E33" i="1"/>
  <c r="F33" i="1"/>
  <c r="B33" i="1"/>
  <c r="C31" i="1"/>
  <c r="D31" i="1"/>
  <c r="E31" i="1"/>
  <c r="F31" i="1"/>
  <c r="B31" i="1"/>
  <c r="C32" i="1"/>
  <c r="D32" i="1"/>
  <c r="E32" i="1"/>
  <c r="F32" i="1"/>
  <c r="B32" i="1"/>
  <c r="C24" i="1"/>
  <c r="D24" i="1"/>
  <c r="E24" i="1"/>
  <c r="F24" i="1"/>
  <c r="F25" i="1" s="1"/>
  <c r="B24" i="1"/>
  <c r="C29" i="1"/>
  <c r="D29" i="1"/>
  <c r="E29" i="1"/>
  <c r="F29" i="1"/>
  <c r="C30" i="1"/>
  <c r="D30" i="1"/>
  <c r="E30" i="1"/>
  <c r="F30" i="1"/>
  <c r="B30" i="1"/>
  <c r="C27" i="1"/>
  <c r="D27" i="1"/>
  <c r="E27" i="1"/>
  <c r="F27" i="1"/>
  <c r="B27" i="1"/>
  <c r="B29" i="1"/>
  <c r="D28" i="1"/>
  <c r="E28" i="1"/>
  <c r="F28" i="1"/>
  <c r="B28" i="1"/>
  <c r="W25" i="1"/>
  <c r="C25" i="1"/>
  <c r="D25" i="1"/>
  <c r="E25" i="1"/>
  <c r="AE23" i="1"/>
  <c r="Q23" i="1"/>
  <c r="P23" i="1"/>
  <c r="L23" i="1"/>
  <c r="M23" i="1"/>
  <c r="C23" i="1"/>
  <c r="D23" i="1"/>
  <c r="E23" i="1"/>
  <c r="F23" i="1"/>
  <c r="B23" i="1"/>
  <c r="AH18" i="1"/>
  <c r="AG18" i="1"/>
  <c r="AF18" i="1"/>
  <c r="AE18" i="1"/>
  <c r="AD18" i="1"/>
  <c r="AD16" i="1"/>
  <c r="AD23" i="1" s="1"/>
  <c r="AH15" i="1"/>
  <c r="AH16" i="1" s="1"/>
  <c r="AG15" i="1"/>
  <c r="AG19" i="1" s="1"/>
  <c r="AF15" i="1"/>
  <c r="AF16" i="1" s="1"/>
  <c r="AF23" i="1" s="1"/>
  <c r="AE15" i="1"/>
  <c r="AE16" i="1" s="1"/>
  <c r="AD15" i="1"/>
  <c r="AD19" i="1" s="1"/>
  <c r="AA19" i="1"/>
  <c r="Z19" i="1"/>
  <c r="Y19" i="1"/>
  <c r="AA18" i="1"/>
  <c r="Z18" i="1"/>
  <c r="Y18" i="1"/>
  <c r="X18" i="1"/>
  <c r="W18" i="1"/>
  <c r="AA16" i="1"/>
  <c r="AA23" i="1" s="1"/>
  <c r="Z16" i="1"/>
  <c r="Z17" i="1" s="1"/>
  <c r="AA15" i="1"/>
  <c r="Z15" i="1"/>
  <c r="Y15" i="1"/>
  <c r="Y16" i="1" s="1"/>
  <c r="X15" i="1"/>
  <c r="X19" i="1" s="1"/>
  <c r="W15" i="1"/>
  <c r="W16" i="1" s="1"/>
  <c r="W23" i="1" s="1"/>
  <c r="T18" i="1"/>
  <c r="S18" i="1"/>
  <c r="S20" i="1" s="1"/>
  <c r="S22" i="1" s="1"/>
  <c r="R18" i="1"/>
  <c r="Q18" i="1"/>
  <c r="P18" i="1"/>
  <c r="T15" i="1"/>
  <c r="T16" i="1" s="1"/>
  <c r="S15" i="1"/>
  <c r="S19" i="1" s="1"/>
  <c r="R15" i="1"/>
  <c r="R16" i="1" s="1"/>
  <c r="R23" i="1" s="1"/>
  <c r="Q15" i="1"/>
  <c r="Q16" i="1" s="1"/>
  <c r="P15" i="1"/>
  <c r="P16" i="1" s="1"/>
  <c r="F21" i="1"/>
  <c r="M19" i="1"/>
  <c r="I19" i="1"/>
  <c r="J18" i="1"/>
  <c r="K18" i="1"/>
  <c r="L18" i="1"/>
  <c r="M18" i="1"/>
  <c r="I18" i="1"/>
  <c r="M16" i="1"/>
  <c r="M21" i="1" s="1"/>
  <c r="I16" i="1"/>
  <c r="I23" i="1" s="1"/>
  <c r="J15" i="1"/>
  <c r="J16" i="1" s="1"/>
  <c r="J23" i="1" s="1"/>
  <c r="K15" i="1"/>
  <c r="K19" i="1" s="1"/>
  <c r="L15" i="1"/>
  <c r="L16" i="1" s="1"/>
  <c r="M15" i="1"/>
  <c r="I15" i="1"/>
  <c r="F15" i="1"/>
  <c r="B15" i="1"/>
  <c r="C15" i="1"/>
  <c r="D15" i="1"/>
  <c r="E15" i="1"/>
  <c r="C19" i="1"/>
  <c r="D19" i="1"/>
  <c r="E19" i="1"/>
  <c r="E20" i="1" s="1"/>
  <c r="E22" i="1" s="1"/>
  <c r="F19" i="1"/>
  <c r="F20" i="1" s="1"/>
  <c r="F22" i="1" s="1"/>
  <c r="C18" i="1"/>
  <c r="C21" i="1" s="1"/>
  <c r="D18" i="1"/>
  <c r="E18" i="1"/>
  <c r="E21" i="1" s="1"/>
  <c r="F18" i="1"/>
  <c r="C17" i="1"/>
  <c r="D17" i="1"/>
  <c r="E17" i="1"/>
  <c r="F17" i="1"/>
  <c r="C16" i="1"/>
  <c r="D16" i="1"/>
  <c r="E16" i="1"/>
  <c r="F16" i="1"/>
  <c r="B19" i="1"/>
  <c r="B18" i="1"/>
  <c r="B21" i="1" s="1"/>
  <c r="B16" i="1"/>
  <c r="B17" i="1" s="1"/>
  <c r="AG37" i="1" l="1"/>
  <c r="AF37" i="1"/>
  <c r="AE37" i="1"/>
  <c r="AH37" i="1"/>
  <c r="AA37" i="1"/>
  <c r="Z37" i="1"/>
  <c r="T37" i="1"/>
  <c r="S37" i="1"/>
  <c r="R37" i="1"/>
  <c r="M37" i="1"/>
  <c r="I37" i="1"/>
  <c r="L37" i="1"/>
  <c r="K37" i="1"/>
  <c r="J37" i="1"/>
  <c r="Q36" i="1"/>
  <c r="Q34" i="1"/>
  <c r="Q32" i="1"/>
  <c r="Q30" i="1"/>
  <c r="Y36" i="1"/>
  <c r="Y34" i="1"/>
  <c r="Y32" i="1"/>
  <c r="Y30" i="1"/>
  <c r="X36" i="1"/>
  <c r="X34" i="1"/>
  <c r="X32" i="1"/>
  <c r="X30" i="1"/>
  <c r="X37" i="1" s="1"/>
  <c r="AD35" i="1"/>
  <c r="AD28" i="1"/>
  <c r="AD36" i="1"/>
  <c r="W30" i="1"/>
  <c r="W31" i="1"/>
  <c r="W32" i="1"/>
  <c r="W33" i="1"/>
  <c r="W34" i="1"/>
  <c r="W28" i="1"/>
  <c r="W36" i="1"/>
  <c r="W35" i="1"/>
  <c r="P35" i="1"/>
  <c r="P28" i="1"/>
  <c r="P36" i="1"/>
  <c r="P33" i="1"/>
  <c r="P34" i="1"/>
  <c r="C28" i="1"/>
  <c r="AH17" i="1"/>
  <c r="AH23" i="1"/>
  <c r="AH19" i="1"/>
  <c r="AH20" i="1" s="1"/>
  <c r="AH22" i="1" s="1"/>
  <c r="AG16" i="1"/>
  <c r="Y17" i="1"/>
  <c r="Y23" i="1"/>
  <c r="AA17" i="1"/>
  <c r="X20" i="1"/>
  <c r="X22" i="1" s="1"/>
  <c r="Z23" i="1"/>
  <c r="Y20" i="1"/>
  <c r="Y22" i="1" s="1"/>
  <c r="X16" i="1"/>
  <c r="X21" i="1" s="1"/>
  <c r="Z20" i="1"/>
  <c r="Z22" i="1" s="1"/>
  <c r="AA20" i="1"/>
  <c r="AA22" i="1" s="1"/>
  <c r="T17" i="1"/>
  <c r="T23" i="1"/>
  <c r="T19" i="1"/>
  <c r="T20" i="1" s="1"/>
  <c r="T22" i="1" s="1"/>
  <c r="S16" i="1"/>
  <c r="K20" i="1"/>
  <c r="K22" i="1" s="1"/>
  <c r="M17" i="1"/>
  <c r="I20" i="1"/>
  <c r="I22" i="1" s="1"/>
  <c r="M20" i="1"/>
  <c r="M22" i="1" s="1"/>
  <c r="D20" i="1"/>
  <c r="D22" i="1" s="1"/>
  <c r="C20" i="1"/>
  <c r="C22" i="1" s="1"/>
  <c r="D21" i="1"/>
  <c r="B20" i="1"/>
  <c r="B22" i="1" s="1"/>
  <c r="I21" i="1"/>
  <c r="AD20" i="1"/>
  <c r="AD22" i="1" s="1"/>
  <c r="AD21" i="1"/>
  <c r="AF17" i="1"/>
  <c r="AF21" i="1"/>
  <c r="AE21" i="1"/>
  <c r="AE17" i="1"/>
  <c r="AG20" i="1"/>
  <c r="AG22" i="1" s="1"/>
  <c r="AD17" i="1"/>
  <c r="AH21" i="1"/>
  <c r="AE19" i="1"/>
  <c r="AE20" i="1" s="1"/>
  <c r="AE22" i="1" s="1"/>
  <c r="AF19" i="1"/>
  <c r="AF20" i="1" s="1"/>
  <c r="AF22" i="1" s="1"/>
  <c r="AA21" i="1"/>
  <c r="W17" i="1"/>
  <c r="W21" i="1"/>
  <c r="Y21" i="1"/>
  <c r="W19" i="1"/>
  <c r="W20" i="1" s="1"/>
  <c r="W22" i="1" s="1"/>
  <c r="Z21" i="1"/>
  <c r="P17" i="1"/>
  <c r="P21" i="1"/>
  <c r="Q21" i="1"/>
  <c r="Q17" i="1"/>
  <c r="R21" i="1"/>
  <c r="R17" i="1"/>
  <c r="S21" i="1"/>
  <c r="T21" i="1"/>
  <c r="P19" i="1"/>
  <c r="P20" i="1" s="1"/>
  <c r="P22" i="1" s="1"/>
  <c r="Q19" i="1"/>
  <c r="Q20" i="1" s="1"/>
  <c r="Q22" i="1" s="1"/>
  <c r="R19" i="1"/>
  <c r="R20" i="1" s="1"/>
  <c r="R22" i="1" s="1"/>
  <c r="I17" i="1"/>
  <c r="J21" i="1"/>
  <c r="J17" i="1"/>
  <c r="L21" i="1"/>
  <c r="L17" i="1"/>
  <c r="L19" i="1"/>
  <c r="L20" i="1" s="1"/>
  <c r="L22" i="1" s="1"/>
  <c r="K16" i="1"/>
  <c r="K23" i="1" s="1"/>
  <c r="J19" i="1"/>
  <c r="J20" i="1" s="1"/>
  <c r="J22" i="1" s="1"/>
  <c r="AD37" i="1" l="1"/>
  <c r="P37" i="1"/>
  <c r="Q37" i="1"/>
  <c r="Y37" i="1"/>
  <c r="W37" i="1"/>
  <c r="AG17" i="1"/>
  <c r="AG23" i="1"/>
  <c r="AG21" i="1"/>
  <c r="X17" i="1"/>
  <c r="X23" i="1"/>
  <c r="S17" i="1"/>
  <c r="S23" i="1"/>
  <c r="K17" i="1"/>
  <c r="K21" i="1"/>
</calcChain>
</file>

<file path=xl/sharedStrings.xml><?xml version="1.0" encoding="utf-8"?>
<sst xmlns="http://schemas.openxmlformats.org/spreadsheetml/2006/main" count="108" uniqueCount="36">
  <si>
    <t>Ucc</t>
  </si>
  <si>
    <t>Ubeq</t>
  </si>
  <si>
    <t>Uul</t>
  </si>
  <si>
    <t>Ibq</t>
  </si>
  <si>
    <t>Rbb</t>
  </si>
  <si>
    <t>Icq</t>
  </si>
  <si>
    <t>Uceq</t>
  </si>
  <si>
    <t>hfe</t>
  </si>
  <si>
    <t>Av</t>
  </si>
  <si>
    <t>Rac</t>
  </si>
  <si>
    <t>Vclip</t>
  </si>
  <si>
    <t>Vmax</t>
  </si>
  <si>
    <t>Re</t>
  </si>
  <si>
    <t>Rt</t>
  </si>
  <si>
    <t>Rc</t>
  </si>
  <si>
    <t>hie</t>
  </si>
  <si>
    <t>Umt</t>
  </si>
  <si>
    <t>Rt = 2200 ohm</t>
  </si>
  <si>
    <t>Rt = 550 ohm</t>
  </si>
  <si>
    <t>Rt = 1100 ohm</t>
  </si>
  <si>
    <t>Rt = 3300 ohm</t>
  </si>
  <si>
    <t>Rt = 4400 ohm</t>
  </si>
  <si>
    <t>η [%]</t>
  </si>
  <si>
    <t>Pcc [W]</t>
  </si>
  <si>
    <t>Pout [W]</t>
  </si>
  <si>
    <t>theta 1</t>
  </si>
  <si>
    <t>theta 2</t>
  </si>
  <si>
    <t>Harmonic 1</t>
  </si>
  <si>
    <t>Harmonic 2</t>
  </si>
  <si>
    <t>Harmonic 3</t>
  </si>
  <si>
    <t>Harmonic 4</t>
  </si>
  <si>
    <t>Harmonic 5</t>
  </si>
  <si>
    <t>Harmonic 6</t>
  </si>
  <si>
    <t>Harmonic 7</t>
  </si>
  <si>
    <t>Harmonic 8</t>
  </si>
  <si>
    <t>THD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</si>
</sst>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00E+00"/>
    <numFmt numFmtId="172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1" fontId="0" fillId="0" borderId="1" xfId="0" applyNumberFormat="1" applyBorder="1"/>
    <xf numFmtId="166" fontId="0" fillId="0" borderId="1" xfId="0" applyNumberFormat="1" applyBorder="1"/>
    <xf numFmtId="17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7755-7B05-4086-B92B-A6987546BB78}">
  <dimension ref="A1:AH37"/>
  <sheetViews>
    <sheetView tabSelected="1" zoomScale="85" zoomScaleNormal="85" workbookViewId="0">
      <selection activeCell="F5" sqref="F5"/>
    </sheetView>
  </sheetViews>
  <sheetFormatPr defaultRowHeight="14.25" x14ac:dyDescent="0.45"/>
  <cols>
    <col min="1" max="1" width="7.9296875" bestFit="1" customWidth="1"/>
    <col min="2" max="4" width="14.73046875" bestFit="1" customWidth="1"/>
    <col min="5" max="6" width="13.73046875" bestFit="1" customWidth="1"/>
    <col min="8" max="8" width="7.9296875" bestFit="1" customWidth="1"/>
    <col min="9" max="13" width="12.06640625" bestFit="1" customWidth="1"/>
    <col min="15" max="15" width="7.9296875" bestFit="1" customWidth="1"/>
    <col min="16" max="20" width="12.06640625" bestFit="1" customWidth="1"/>
    <col min="22" max="22" width="10.1328125" bestFit="1" customWidth="1"/>
    <col min="23" max="27" width="12.06640625" bestFit="1" customWidth="1"/>
    <col min="29" max="29" width="10.1328125" bestFit="1" customWidth="1"/>
    <col min="30" max="34" width="12.06640625" bestFit="1" customWidth="1"/>
  </cols>
  <sheetData>
    <row r="1" spans="1:34" x14ac:dyDescent="0.45">
      <c r="A1" s="1" t="s">
        <v>0</v>
      </c>
      <c r="B1" s="2">
        <v>15</v>
      </c>
    </row>
    <row r="2" spans="1:34" x14ac:dyDescent="0.45">
      <c r="A2" s="1" t="s">
        <v>1</v>
      </c>
      <c r="B2" s="2">
        <v>0.7</v>
      </c>
    </row>
    <row r="3" spans="1:34" x14ac:dyDescent="0.45">
      <c r="A3" s="1" t="s">
        <v>2</v>
      </c>
      <c r="B3" s="2">
        <v>6.2</v>
      </c>
    </row>
    <row r="4" spans="1:34" x14ac:dyDescent="0.45">
      <c r="A4" s="1" t="s">
        <v>16</v>
      </c>
      <c r="B4" s="2">
        <v>2.5000000000000001E-2</v>
      </c>
    </row>
    <row r="5" spans="1:34" x14ac:dyDescent="0.45">
      <c r="A5" s="1" t="s">
        <v>4</v>
      </c>
      <c r="B5" s="2">
        <v>820000</v>
      </c>
    </row>
    <row r="6" spans="1:34" x14ac:dyDescent="0.45">
      <c r="A6" s="1" t="s">
        <v>14</v>
      </c>
      <c r="B6" s="2">
        <v>1000</v>
      </c>
    </row>
    <row r="7" spans="1:34" x14ac:dyDescent="0.45">
      <c r="A7" s="1" t="s">
        <v>7</v>
      </c>
      <c r="B7" s="2">
        <v>380</v>
      </c>
    </row>
    <row r="12" spans="1:34" x14ac:dyDescent="0.45">
      <c r="A12" s="4" t="s">
        <v>18</v>
      </c>
      <c r="B12" s="4"/>
      <c r="C12" s="4"/>
      <c r="D12" s="4"/>
      <c r="E12" s="4"/>
      <c r="F12" s="4"/>
      <c r="H12" s="4" t="s">
        <v>19</v>
      </c>
      <c r="I12" s="4"/>
      <c r="J12" s="4"/>
      <c r="K12" s="4"/>
      <c r="L12" s="4"/>
      <c r="M12" s="4"/>
      <c r="O12" s="4" t="s">
        <v>17</v>
      </c>
      <c r="P12" s="4"/>
      <c r="Q12" s="4"/>
      <c r="R12" s="4"/>
      <c r="S12" s="4"/>
      <c r="T12" s="4"/>
      <c r="V12" s="4" t="s">
        <v>20</v>
      </c>
      <c r="W12" s="4"/>
      <c r="X12" s="4"/>
      <c r="Y12" s="4"/>
      <c r="Z12" s="4"/>
      <c r="AA12" s="4"/>
      <c r="AC12" s="4" t="s">
        <v>21</v>
      </c>
      <c r="AD12" s="4"/>
      <c r="AE12" s="4"/>
      <c r="AF12" s="4"/>
      <c r="AG12" s="4"/>
      <c r="AH12" s="4"/>
    </row>
    <row r="13" spans="1:34" x14ac:dyDescent="0.45">
      <c r="A13" s="1" t="s">
        <v>12</v>
      </c>
      <c r="B13" s="6">
        <v>250</v>
      </c>
      <c r="C13" s="6">
        <v>500</v>
      </c>
      <c r="D13" s="6">
        <v>1000</v>
      </c>
      <c r="E13" s="6">
        <v>2000</v>
      </c>
      <c r="F13" s="6">
        <v>3000</v>
      </c>
      <c r="H13" s="1" t="s">
        <v>12</v>
      </c>
      <c r="I13" s="6">
        <v>250</v>
      </c>
      <c r="J13" s="6">
        <v>500</v>
      </c>
      <c r="K13" s="6">
        <v>1000</v>
      </c>
      <c r="L13" s="6">
        <v>2000</v>
      </c>
      <c r="M13" s="6">
        <v>3000</v>
      </c>
      <c r="O13" s="1" t="s">
        <v>12</v>
      </c>
      <c r="P13" s="6">
        <v>250</v>
      </c>
      <c r="Q13" s="6">
        <v>500</v>
      </c>
      <c r="R13" s="6">
        <v>1000</v>
      </c>
      <c r="S13" s="6">
        <v>2000</v>
      </c>
      <c r="T13" s="6">
        <v>3000</v>
      </c>
      <c r="V13" s="1" t="s">
        <v>12</v>
      </c>
      <c r="W13" s="6">
        <v>250</v>
      </c>
      <c r="X13" s="6">
        <v>500</v>
      </c>
      <c r="Y13" s="6">
        <v>1000</v>
      </c>
      <c r="Z13" s="6">
        <v>2000</v>
      </c>
      <c r="AA13" s="6">
        <v>3000</v>
      </c>
      <c r="AC13" s="1" t="s">
        <v>12</v>
      </c>
      <c r="AD13" s="6">
        <v>250</v>
      </c>
      <c r="AE13" s="6">
        <v>500</v>
      </c>
      <c r="AF13" s="6">
        <v>1000</v>
      </c>
      <c r="AG13" s="6">
        <v>2000</v>
      </c>
      <c r="AH13" s="6">
        <v>3000</v>
      </c>
    </row>
    <row r="14" spans="1:34" x14ac:dyDescent="0.45">
      <c r="A14" s="1" t="s">
        <v>13</v>
      </c>
      <c r="B14" s="6">
        <v>550</v>
      </c>
      <c r="C14" s="6">
        <v>550</v>
      </c>
      <c r="D14" s="6">
        <v>550</v>
      </c>
      <c r="E14" s="6">
        <v>550</v>
      </c>
      <c r="F14" s="6">
        <v>550</v>
      </c>
      <c r="H14" s="1" t="s">
        <v>13</v>
      </c>
      <c r="I14" s="6">
        <v>1100</v>
      </c>
      <c r="J14" s="6">
        <v>1100</v>
      </c>
      <c r="K14" s="6">
        <v>1100</v>
      </c>
      <c r="L14" s="6">
        <v>1100</v>
      </c>
      <c r="M14" s="6">
        <v>1100</v>
      </c>
      <c r="O14" s="1" t="s">
        <v>13</v>
      </c>
      <c r="P14" s="6">
        <v>2200</v>
      </c>
      <c r="Q14" s="6">
        <v>2200</v>
      </c>
      <c r="R14" s="6">
        <v>2200</v>
      </c>
      <c r="S14" s="6">
        <v>2200</v>
      </c>
      <c r="T14" s="6">
        <v>2200</v>
      </c>
      <c r="V14" s="1" t="s">
        <v>13</v>
      </c>
      <c r="W14" s="6">
        <v>3300</v>
      </c>
      <c r="X14" s="6">
        <v>3300</v>
      </c>
      <c r="Y14" s="6">
        <v>3300</v>
      </c>
      <c r="Z14" s="6">
        <v>3300</v>
      </c>
      <c r="AA14" s="6">
        <v>3300</v>
      </c>
      <c r="AC14" s="1" t="s">
        <v>13</v>
      </c>
      <c r="AD14" s="6">
        <v>4400</v>
      </c>
      <c r="AE14" s="6">
        <v>4400</v>
      </c>
      <c r="AF14" s="6">
        <v>4400</v>
      </c>
      <c r="AG14" s="6">
        <v>4400</v>
      </c>
      <c r="AH14" s="6">
        <v>4400</v>
      </c>
    </row>
    <row r="15" spans="1:34" x14ac:dyDescent="0.45">
      <c r="A15" s="1" t="s">
        <v>3</v>
      </c>
      <c r="B15" s="7">
        <f t="shared" ref="B15:D15" si="0">($B$1 - $B$2)/($B$5 + (1 + $B$7)* B13)</f>
        <v>1.5624146408085225E-5</v>
      </c>
      <c r="C15" s="7">
        <f t="shared" si="0"/>
        <v>1.4151410192973776E-5</v>
      </c>
      <c r="D15" s="7">
        <f t="shared" si="0"/>
        <v>1.1906744379683597E-5</v>
      </c>
      <c r="E15" s="7">
        <f>($B$1 - $B$2)/($B$5 + (1 + $B$7)* E13)</f>
        <v>9.0391908975979774E-6</v>
      </c>
      <c r="F15" s="7">
        <f>($B$1 - $B$2)/($B$5 + (1 + $B$7)* F13)</f>
        <v>7.2847682119205301E-6</v>
      </c>
      <c r="H15" s="1" t="s">
        <v>3</v>
      </c>
      <c r="I15" s="7">
        <f>($B$1 - $B$2)/($B$5 + (1 + $B$7)*I13)</f>
        <v>1.5624146408085225E-5</v>
      </c>
      <c r="J15" s="7">
        <f t="shared" ref="J15:M15" si="1">($B$1 - $B$2)/($B$5 + (1 + $B$7)*J13)</f>
        <v>1.4151410192973776E-5</v>
      </c>
      <c r="K15" s="7">
        <f t="shared" si="1"/>
        <v>1.1906744379683597E-5</v>
      </c>
      <c r="L15" s="7">
        <f t="shared" si="1"/>
        <v>9.0391908975979774E-6</v>
      </c>
      <c r="M15" s="7">
        <f t="shared" si="1"/>
        <v>7.2847682119205301E-6</v>
      </c>
      <c r="O15" s="1" t="s">
        <v>3</v>
      </c>
      <c r="P15" s="7">
        <f>($B$1 - $B$2)/($B$5 + (1 + $B$7)*P13)</f>
        <v>1.5624146408085225E-5</v>
      </c>
      <c r="Q15" s="7">
        <f t="shared" ref="Q15:T15" si="2">($B$1 - $B$2)/($B$5 + (1 + $B$7)*Q13)</f>
        <v>1.4151410192973776E-5</v>
      </c>
      <c r="R15" s="7">
        <f t="shared" si="2"/>
        <v>1.1906744379683597E-5</v>
      </c>
      <c r="S15" s="7">
        <f t="shared" si="2"/>
        <v>9.0391908975979774E-6</v>
      </c>
      <c r="T15" s="7">
        <f t="shared" si="2"/>
        <v>7.2847682119205301E-6</v>
      </c>
      <c r="V15" s="1" t="s">
        <v>3</v>
      </c>
      <c r="W15" s="7">
        <f>($B$1 - $B$2)/($B$5 + (1 + $B$7)*W13)</f>
        <v>1.5624146408085225E-5</v>
      </c>
      <c r="X15" s="7">
        <f t="shared" ref="X15:AA15" si="3">($B$1 - $B$2)/($B$5 + (1 + $B$7)*X13)</f>
        <v>1.4151410192973776E-5</v>
      </c>
      <c r="Y15" s="7">
        <f t="shared" si="3"/>
        <v>1.1906744379683597E-5</v>
      </c>
      <c r="Z15" s="7">
        <f t="shared" si="3"/>
        <v>9.0391908975979774E-6</v>
      </c>
      <c r="AA15" s="7">
        <f t="shared" si="3"/>
        <v>7.2847682119205301E-6</v>
      </c>
      <c r="AC15" s="1" t="s">
        <v>3</v>
      </c>
      <c r="AD15" s="7">
        <f>($B$1 - $B$2)/($B$5 + (1 + $B$7)*AD13)</f>
        <v>1.5624146408085225E-5</v>
      </c>
      <c r="AE15" s="7">
        <f t="shared" ref="AE15:AH15" si="4">($B$1 - $B$2)/($B$5 + (1 + $B$7)*AE13)</f>
        <v>1.4151410192973776E-5</v>
      </c>
      <c r="AF15" s="7">
        <f t="shared" si="4"/>
        <v>1.1906744379683597E-5</v>
      </c>
      <c r="AG15" s="7">
        <f t="shared" si="4"/>
        <v>9.0391908975979774E-6</v>
      </c>
      <c r="AH15" s="7">
        <f t="shared" si="4"/>
        <v>7.2847682119205301E-6</v>
      </c>
    </row>
    <row r="16" spans="1:34" x14ac:dyDescent="0.45">
      <c r="A16" s="1" t="s">
        <v>5</v>
      </c>
      <c r="B16" s="3">
        <f>$B$7*B15</f>
        <v>5.9371756350723856E-3</v>
      </c>
      <c r="C16" s="3">
        <f t="shared" ref="C16:F16" si="5">$B$7*C15</f>
        <v>5.3775358733300352E-3</v>
      </c>
      <c r="D16" s="3">
        <f t="shared" si="5"/>
        <v>4.5245628642797669E-3</v>
      </c>
      <c r="E16" s="3">
        <f t="shared" si="5"/>
        <v>3.4348925410872316E-3</v>
      </c>
      <c r="F16" s="3">
        <f t="shared" si="5"/>
        <v>2.7682119205298013E-3</v>
      </c>
      <c r="H16" s="1" t="s">
        <v>5</v>
      </c>
      <c r="I16" s="3">
        <f>$B$7 *I15</f>
        <v>5.9371756350723856E-3</v>
      </c>
      <c r="J16" s="3">
        <f t="shared" ref="J16:M16" si="6">$B$7 *J15</f>
        <v>5.3775358733300352E-3</v>
      </c>
      <c r="K16" s="3">
        <f t="shared" si="6"/>
        <v>4.5245628642797669E-3</v>
      </c>
      <c r="L16" s="3">
        <f t="shared" si="6"/>
        <v>3.4348925410872316E-3</v>
      </c>
      <c r="M16" s="3">
        <f t="shared" si="6"/>
        <v>2.7682119205298013E-3</v>
      </c>
      <c r="O16" s="1" t="s">
        <v>5</v>
      </c>
      <c r="P16" s="3">
        <f>$B$7 *P15</f>
        <v>5.9371756350723856E-3</v>
      </c>
      <c r="Q16" s="3">
        <f t="shared" ref="Q16" si="7">$B$7 *Q15</f>
        <v>5.3775358733300352E-3</v>
      </c>
      <c r="R16" s="3">
        <f t="shared" ref="R16" si="8">$B$7 *R15</f>
        <v>4.5245628642797669E-3</v>
      </c>
      <c r="S16" s="3">
        <f t="shared" ref="S16" si="9">$B$7 *S15</f>
        <v>3.4348925410872316E-3</v>
      </c>
      <c r="T16" s="3">
        <f t="shared" ref="T16" si="10">$B$7 *T15</f>
        <v>2.7682119205298013E-3</v>
      </c>
      <c r="V16" s="1" t="s">
        <v>5</v>
      </c>
      <c r="W16" s="3">
        <f>$B$7 *W15</f>
        <v>5.9371756350723856E-3</v>
      </c>
      <c r="X16" s="3">
        <f t="shared" ref="X16" si="11">$B$7 *X15</f>
        <v>5.3775358733300352E-3</v>
      </c>
      <c r="Y16" s="3">
        <f t="shared" ref="Y16" si="12">$B$7 *Y15</f>
        <v>4.5245628642797669E-3</v>
      </c>
      <c r="Z16" s="3">
        <f t="shared" ref="Z16" si="13">$B$7 *Z15</f>
        <v>3.4348925410872316E-3</v>
      </c>
      <c r="AA16" s="3">
        <f t="shared" ref="AA16" si="14">$B$7 *AA15</f>
        <v>2.7682119205298013E-3</v>
      </c>
      <c r="AC16" s="1" t="s">
        <v>5</v>
      </c>
      <c r="AD16" s="3">
        <f>$B$7 *AD15</f>
        <v>5.9371756350723856E-3</v>
      </c>
      <c r="AE16" s="3">
        <f t="shared" ref="AE16" si="15">$B$7 *AE15</f>
        <v>5.3775358733300352E-3</v>
      </c>
      <c r="AF16" s="3">
        <f t="shared" ref="AF16" si="16">$B$7 *AF15</f>
        <v>4.5245628642797669E-3</v>
      </c>
      <c r="AG16" s="3">
        <f t="shared" ref="AG16" si="17">$B$7 *AG15</f>
        <v>3.4348925410872316E-3</v>
      </c>
      <c r="AH16" s="3">
        <f t="shared" ref="AH16" si="18">$B$7 *AH15</f>
        <v>2.7682119205298013E-3</v>
      </c>
    </row>
    <row r="17" spans="1:34" x14ac:dyDescent="0.45">
      <c r="A17" s="1" t="s">
        <v>6</v>
      </c>
      <c r="B17" s="3">
        <f>$B$1 - ($B$6 + B13)*B16</f>
        <v>7.5785304561595179</v>
      </c>
      <c r="C17" s="3">
        <f t="shared" ref="C17:F17" si="19">$B$1 - ($B$6 + C13)*C16</f>
        <v>6.9336961900049481</v>
      </c>
      <c r="D17" s="3">
        <f t="shared" si="19"/>
        <v>5.9508742714404654</v>
      </c>
      <c r="E17" s="3">
        <f t="shared" si="19"/>
        <v>4.6953223767383054</v>
      </c>
      <c r="F17" s="3">
        <f t="shared" si="19"/>
        <v>3.927152317880795</v>
      </c>
      <c r="H17" s="1" t="s">
        <v>6</v>
      </c>
      <c r="I17" s="3">
        <f>B1 - ($B$6 + I14)*I16</f>
        <v>2.5319311663479898</v>
      </c>
      <c r="J17" s="3">
        <f t="shared" ref="J17:M17" si="20">C1 - ($B$6 + J14)*J16</f>
        <v>-11.292825333993074</v>
      </c>
      <c r="K17" s="3">
        <f t="shared" si="20"/>
        <v>-9.5015820149875108</v>
      </c>
      <c r="L17" s="3">
        <f t="shared" si="20"/>
        <v>-7.2132743362831864</v>
      </c>
      <c r="M17" s="3">
        <f t="shared" si="20"/>
        <v>-5.8132450331125831</v>
      </c>
      <c r="O17" s="1" t="s">
        <v>6</v>
      </c>
      <c r="P17" s="3">
        <f>I1 - ($B$6 + P14)*P16</f>
        <v>-18.998962032231635</v>
      </c>
      <c r="Q17" s="3">
        <f t="shared" ref="Q17" si="21">J1 - ($B$6 + Q14)*Q16</f>
        <v>-17.208114794656112</v>
      </c>
      <c r="R17" s="3">
        <f t="shared" ref="R17" si="22">K1 - ($B$6 + R14)*R16</f>
        <v>-14.478601165695254</v>
      </c>
      <c r="S17" s="3">
        <f t="shared" ref="S17" si="23">L1 - ($B$6 + S14)*S16</f>
        <v>-10.991656131479141</v>
      </c>
      <c r="T17" s="3">
        <f t="shared" ref="T17" si="24">M1 - ($B$6 + T14)*T16</f>
        <v>-8.8582781456953636</v>
      </c>
      <c r="V17" s="1" t="s">
        <v>6</v>
      </c>
      <c r="W17" s="3">
        <f>P1 - ($B$6 + W14)*W16</f>
        <v>-25.529855230811258</v>
      </c>
      <c r="X17" s="3">
        <f t="shared" ref="X17" si="25">Q1 - ($B$6 + X14)*X16</f>
        <v>-23.123404255319151</v>
      </c>
      <c r="Y17" s="3">
        <f t="shared" ref="Y17" si="26">R1 - ($B$6 + Y14)*Y16</f>
        <v>-19.455620316402996</v>
      </c>
      <c r="Z17" s="3">
        <f t="shared" ref="Z17" si="27">S1 - ($B$6 + Z14)*Z16</f>
        <v>-14.770037926675096</v>
      </c>
      <c r="AA17" s="3">
        <f t="shared" ref="AA17" si="28">T1 - ($B$6 + AA14)*AA16</f>
        <v>-11.903311258278146</v>
      </c>
      <c r="AC17" s="1" t="s">
        <v>6</v>
      </c>
      <c r="AD17" s="3">
        <f>W1 - ($B$6 + AD14)*AD16</f>
        <v>-32.060748429390884</v>
      </c>
      <c r="AE17" s="3">
        <f t="shared" ref="AE17" si="29">X1 - ($B$6 + AE14)*AE16</f>
        <v>-29.038693715982191</v>
      </c>
      <c r="AF17" s="3">
        <f t="shared" ref="AF17" si="30">Y1 - ($B$6 + AF14)*AF16</f>
        <v>-24.432639467110739</v>
      </c>
      <c r="AG17" s="3">
        <f t="shared" ref="AG17" si="31">Z1 - ($B$6 + AG14)*AG16</f>
        <v>-18.548419721871049</v>
      </c>
      <c r="AH17" s="3">
        <f t="shared" ref="AH17" si="32">AA1 - ($B$6 + AH14)*AH16</f>
        <v>-14.948344370860926</v>
      </c>
    </row>
    <row r="18" spans="1:34" x14ac:dyDescent="0.45">
      <c r="A18" s="1" t="s">
        <v>9</v>
      </c>
      <c r="B18" s="3">
        <f>($B$6*B14)/($B$6+B14)</f>
        <v>354.83870967741933</v>
      </c>
      <c r="C18" s="3">
        <f t="shared" ref="C18:F18" si="33">($B$6*C14)/($B$6+C14)</f>
        <v>354.83870967741933</v>
      </c>
      <c r="D18" s="3">
        <f t="shared" si="33"/>
        <v>354.83870967741933</v>
      </c>
      <c r="E18" s="3">
        <f t="shared" si="33"/>
        <v>354.83870967741933</v>
      </c>
      <c r="F18" s="3">
        <f t="shared" si="33"/>
        <v>354.83870967741933</v>
      </c>
      <c r="H18" s="1" t="s">
        <v>9</v>
      </c>
      <c r="I18" s="3">
        <f>($B$6*I14)/($B$6+I14)</f>
        <v>523.80952380952385</v>
      </c>
      <c r="J18" s="3">
        <f t="shared" ref="J18:M18" si="34">($B$6*J14)/($B$6+J14)</f>
        <v>523.80952380952385</v>
      </c>
      <c r="K18" s="3">
        <f t="shared" si="34"/>
        <v>523.80952380952385</v>
      </c>
      <c r="L18" s="3">
        <f t="shared" si="34"/>
        <v>523.80952380952385</v>
      </c>
      <c r="M18" s="3">
        <f t="shared" si="34"/>
        <v>523.80952380952385</v>
      </c>
      <c r="O18" s="1" t="s">
        <v>9</v>
      </c>
      <c r="P18" s="3">
        <f>($B$6*P14)/($B$6+P14)</f>
        <v>687.5</v>
      </c>
      <c r="Q18" s="3">
        <f t="shared" ref="Q18:T18" si="35">($B$6*Q14)/($B$6+Q14)</f>
        <v>687.5</v>
      </c>
      <c r="R18" s="3">
        <f t="shared" si="35"/>
        <v>687.5</v>
      </c>
      <c r="S18" s="3">
        <f t="shared" si="35"/>
        <v>687.5</v>
      </c>
      <c r="T18" s="3">
        <f t="shared" si="35"/>
        <v>687.5</v>
      </c>
      <c r="V18" s="1" t="s">
        <v>9</v>
      </c>
      <c r="W18" s="3">
        <f>($B$6*W14)/($B$6+W14)</f>
        <v>767.44186046511629</v>
      </c>
      <c r="X18" s="3">
        <f t="shared" ref="X18:AA18" si="36">($B$6*X14)/($B$6+X14)</f>
        <v>767.44186046511629</v>
      </c>
      <c r="Y18" s="3">
        <f t="shared" si="36"/>
        <v>767.44186046511629</v>
      </c>
      <c r="Z18" s="3">
        <f t="shared" si="36"/>
        <v>767.44186046511629</v>
      </c>
      <c r="AA18" s="3">
        <f t="shared" si="36"/>
        <v>767.44186046511629</v>
      </c>
      <c r="AC18" s="1" t="s">
        <v>9</v>
      </c>
      <c r="AD18" s="3">
        <f>($B$6*AD14)/($B$6+AD14)</f>
        <v>814.81481481481478</v>
      </c>
      <c r="AE18" s="3">
        <f t="shared" ref="AE18:AH18" si="37">($B$6*AE14)/($B$6+AE14)</f>
        <v>814.81481481481478</v>
      </c>
      <c r="AF18" s="3">
        <f t="shared" si="37"/>
        <v>814.81481481481478</v>
      </c>
      <c r="AG18" s="3">
        <f t="shared" si="37"/>
        <v>814.81481481481478</v>
      </c>
      <c r="AH18" s="3">
        <f t="shared" si="37"/>
        <v>814.81481481481478</v>
      </c>
    </row>
    <row r="19" spans="1:34" x14ac:dyDescent="0.45">
      <c r="A19" s="1" t="s">
        <v>15</v>
      </c>
      <c r="B19" s="3">
        <f>$B$4/B15</f>
        <v>1600.0874125874125</v>
      </c>
      <c r="C19" s="3">
        <f t="shared" ref="C19:F19" si="38">$B$4/C15</f>
        <v>1766.6083916083917</v>
      </c>
      <c r="D19" s="3">
        <f t="shared" si="38"/>
        <v>2099.6503496503497</v>
      </c>
      <c r="E19" s="3">
        <f t="shared" si="38"/>
        <v>2765.734265734266</v>
      </c>
      <c r="F19" s="3">
        <f t="shared" si="38"/>
        <v>3431.818181818182</v>
      </c>
      <c r="H19" s="1" t="s">
        <v>15</v>
      </c>
      <c r="I19" s="3">
        <f>$B$4/I15</f>
        <v>1600.0874125874125</v>
      </c>
      <c r="J19" s="3">
        <f t="shared" ref="J19:M19" si="39">$B$4/J15</f>
        <v>1766.6083916083917</v>
      </c>
      <c r="K19" s="3">
        <f t="shared" si="39"/>
        <v>2099.6503496503497</v>
      </c>
      <c r="L19" s="3">
        <f t="shared" si="39"/>
        <v>2765.734265734266</v>
      </c>
      <c r="M19" s="3">
        <f t="shared" si="39"/>
        <v>3431.818181818182</v>
      </c>
      <c r="O19" s="1" t="s">
        <v>15</v>
      </c>
      <c r="P19" s="3">
        <f>$B$4/P15</f>
        <v>1600.0874125874125</v>
      </c>
      <c r="Q19" s="3">
        <f t="shared" ref="Q19:T19" si="40">$B$4/Q15</f>
        <v>1766.6083916083917</v>
      </c>
      <c r="R19" s="3">
        <f t="shared" si="40"/>
        <v>2099.6503496503497</v>
      </c>
      <c r="S19" s="3">
        <f t="shared" si="40"/>
        <v>2765.734265734266</v>
      </c>
      <c r="T19" s="3">
        <f t="shared" si="40"/>
        <v>3431.818181818182</v>
      </c>
      <c r="V19" s="1" t="s">
        <v>15</v>
      </c>
      <c r="W19" s="3">
        <f>$B$4/W15</f>
        <v>1600.0874125874125</v>
      </c>
      <c r="X19" s="3">
        <f t="shared" ref="X19:AA19" si="41">$B$4/X15</f>
        <v>1766.6083916083917</v>
      </c>
      <c r="Y19" s="3">
        <f t="shared" si="41"/>
        <v>2099.6503496503497</v>
      </c>
      <c r="Z19" s="3">
        <f t="shared" si="41"/>
        <v>2765.734265734266</v>
      </c>
      <c r="AA19" s="3">
        <f t="shared" si="41"/>
        <v>3431.818181818182</v>
      </c>
      <c r="AC19" s="1" t="s">
        <v>15</v>
      </c>
      <c r="AD19" s="3">
        <f>$B$4/AD15</f>
        <v>1600.0874125874125</v>
      </c>
      <c r="AE19" s="3">
        <f t="shared" ref="AE19:AH19" si="42">$B$4/AE15</f>
        <v>1766.6083916083917</v>
      </c>
      <c r="AF19" s="3">
        <f t="shared" si="42"/>
        <v>2099.6503496503497</v>
      </c>
      <c r="AG19" s="3">
        <f t="shared" si="42"/>
        <v>2765.734265734266</v>
      </c>
      <c r="AH19" s="3">
        <f t="shared" si="42"/>
        <v>3431.818181818182</v>
      </c>
    </row>
    <row r="20" spans="1:34" x14ac:dyDescent="0.45">
      <c r="A20" s="1" t="s">
        <v>8</v>
      </c>
      <c r="B20" s="3">
        <f>-$B$7*(B18/(B19 + (1 + $B$7)*B13))</f>
        <v>-1.3922414866080404</v>
      </c>
      <c r="C20" s="3">
        <f t="shared" ref="C20:F20" si="43">-$B$7*(C18/(C19 + (1 + $B$7)*C13))</f>
        <v>-0.70131111587915473</v>
      </c>
      <c r="D20" s="3">
        <f t="shared" si="43"/>
        <v>-0.35196771794062903</v>
      </c>
      <c r="E20" s="3">
        <f t="shared" si="43"/>
        <v>-0.1763137437203309</v>
      </c>
      <c r="F20" s="3">
        <f t="shared" si="43"/>
        <v>-0.11761598687243921</v>
      </c>
      <c r="H20" s="1" t="s">
        <v>8</v>
      </c>
      <c r="I20" s="3">
        <f>-$B$7*(I18/(I19 + (1+$B$7)*I13))</f>
        <v>-2.05521362308806</v>
      </c>
      <c r="J20" s="3">
        <f t="shared" ref="J20:M20" si="44">-$B$7*(J18/(J19 + (1+$B$7)*J13))</f>
        <v>-1.0352687901073239</v>
      </c>
      <c r="K20" s="3">
        <f t="shared" si="44"/>
        <v>-0.51957139315045253</v>
      </c>
      <c r="L20" s="3">
        <f t="shared" si="44"/>
        <v>-0.26027266930144088</v>
      </c>
      <c r="M20" s="3">
        <f t="shared" si="44"/>
        <v>-0.17362359966883886</v>
      </c>
      <c r="O20" s="1" t="s">
        <v>8</v>
      </c>
      <c r="P20" s="3">
        <f>-$B$7*(P18/(P19 + (1+$B$7)*P13))</f>
        <v>-2.697467880303078</v>
      </c>
      <c r="Q20" s="3">
        <f t="shared" ref="Q20" si="45">-$B$7*(Q18/(Q19 + (1+$B$7)*Q13))</f>
        <v>-1.3587902870158624</v>
      </c>
      <c r="R20" s="3">
        <f t="shared" ref="R20" si="46">-$B$7*(R18/(R19 + (1+$B$7)*R13))</f>
        <v>-0.68193745350996882</v>
      </c>
      <c r="S20" s="3">
        <f t="shared" ref="S20" si="47">-$B$7*(S18/(S19 + (1+$B$7)*S13))</f>
        <v>-0.34160787845814111</v>
      </c>
      <c r="T20" s="3">
        <f t="shared" ref="T20" si="48">-$B$7*(T18/(T19 + (1+$B$7)*T13))</f>
        <v>-0.227880974565351</v>
      </c>
      <c r="V20" s="1" t="s">
        <v>8</v>
      </c>
      <c r="W20" s="3">
        <f>-$B$7*(W18/(W19 + (1+$B$7)*W13))</f>
        <v>-3.011126936152273</v>
      </c>
      <c r="X20" s="3">
        <f t="shared" ref="X20" si="49">-$B$7*(X18/(X19 + (1+$B$7)*X13))</f>
        <v>-1.5167891575991022</v>
      </c>
      <c r="Y20" s="3">
        <f t="shared" ref="Y20" si="50">-$B$7*(Y18/(Y19 + (1+$B$7)*Y13))</f>
        <v>-0.76123250624368621</v>
      </c>
      <c r="Z20" s="3">
        <f t="shared" ref="Z20" si="51">-$B$7*(Z18/(Z19 + (1+$B$7)*Z13))</f>
        <v>-0.3813297247904831</v>
      </c>
      <c r="AA20" s="3">
        <f t="shared" ref="AA20" si="52">-$B$7*(AA18/(AA19 + (1+$B$7)*AA13))</f>
        <v>-0.2543787623055081</v>
      </c>
      <c r="AC20" s="1" t="s">
        <v>8</v>
      </c>
      <c r="AD20" s="3">
        <f>-$B$7*(AD18/(AD19 + (1+$B$7)*AD13))</f>
        <v>-3.1969989692480922</v>
      </c>
      <c r="AE20" s="3">
        <f t="shared" ref="AE20" si="53">-$B$7*(AE18/(AE19 + (1+$B$7)*AE13))</f>
        <v>-1.6104181179447259</v>
      </c>
      <c r="AF20" s="3">
        <f t="shared" ref="AF20" si="54">-$B$7*(AF18/(AF19 + (1+$B$7)*AF13))</f>
        <v>-0.80822216712292594</v>
      </c>
      <c r="AG20" s="3">
        <f t="shared" ref="AG20" si="55">-$B$7*(AG18/(AG19 + (1+$B$7)*AG13))</f>
        <v>-0.40486859669113018</v>
      </c>
      <c r="AH20" s="3">
        <f t="shared" ref="AH20" si="56">-$B$7*(AH18/(AH19 + (1+$B$7)*AH13))</f>
        <v>-0.27008115504041597</v>
      </c>
    </row>
    <row r="21" spans="1:34" x14ac:dyDescent="0.45">
      <c r="A21" s="1" t="s">
        <v>10</v>
      </c>
      <c r="B21" s="3">
        <f>B16*B18</f>
        <v>2.1067397414772979</v>
      </c>
      <c r="C21" s="3">
        <f t="shared" ref="C21:E21" si="57">C16*C18</f>
        <v>1.908157890536464</v>
      </c>
      <c r="D21" s="3">
        <f t="shared" si="57"/>
        <v>1.6054900486154011</v>
      </c>
      <c r="E21" s="3">
        <f t="shared" si="57"/>
        <v>1.2188328371599852</v>
      </c>
      <c r="F21" s="3">
        <f>F16*F18</f>
        <v>0.98226874599444558</v>
      </c>
      <c r="H21" s="1" t="s">
        <v>10</v>
      </c>
      <c r="I21" s="3">
        <f>I16*I18</f>
        <v>3.1099491421807737</v>
      </c>
      <c r="J21" s="3">
        <f t="shared" ref="J21:M21" si="58">J16*J18</f>
        <v>2.8168045050776378</v>
      </c>
      <c r="K21" s="3">
        <f t="shared" si="58"/>
        <v>2.37000911938464</v>
      </c>
      <c r="L21" s="3">
        <f t="shared" si="58"/>
        <v>1.7992294262837882</v>
      </c>
      <c r="M21" s="3">
        <f t="shared" si="58"/>
        <v>1.4500157678965626</v>
      </c>
      <c r="O21" s="1" t="s">
        <v>10</v>
      </c>
      <c r="P21" s="3">
        <f>P16*P18</f>
        <v>4.0818082491122647</v>
      </c>
      <c r="Q21" s="3">
        <f t="shared" ref="Q21:T21" si="59">Q16*Q18</f>
        <v>3.6970559129143994</v>
      </c>
      <c r="R21" s="3">
        <f t="shared" si="59"/>
        <v>3.1106369691923397</v>
      </c>
      <c r="S21" s="3">
        <f t="shared" si="59"/>
        <v>2.3614886219974718</v>
      </c>
      <c r="T21" s="3">
        <f t="shared" si="59"/>
        <v>1.9031456953642383</v>
      </c>
      <c r="V21" s="1" t="s">
        <v>10</v>
      </c>
      <c r="W21" s="3">
        <f>W16*W18</f>
        <v>4.5564371152881096</v>
      </c>
      <c r="X21" s="3">
        <f t="shared" ref="X21:AA21" si="60">X16*X18</f>
        <v>4.1269461353463059</v>
      </c>
      <c r="Y21" s="3">
        <f t="shared" si="60"/>
        <v>3.4723389423542397</v>
      </c>
      <c r="Z21" s="3">
        <f t="shared" si="60"/>
        <v>2.636080322229736</v>
      </c>
      <c r="AA21" s="3">
        <f t="shared" si="60"/>
        <v>2.1244417064531032</v>
      </c>
      <c r="AC21" s="1" t="s">
        <v>10</v>
      </c>
      <c r="AD21" s="3">
        <f>AD16*AD18</f>
        <v>4.8376986656145364</v>
      </c>
      <c r="AE21" s="3">
        <f t="shared" ref="AE21:AH21" si="61">AE16*AE18</f>
        <v>4.381695896787436</v>
      </c>
      <c r="AF21" s="3">
        <f t="shared" si="61"/>
        <v>3.6866808523761061</v>
      </c>
      <c r="AG21" s="3">
        <f t="shared" si="61"/>
        <v>2.7988013297747814</v>
      </c>
      <c r="AH21" s="3">
        <f t="shared" si="61"/>
        <v>2.2555800833946527</v>
      </c>
    </row>
    <row r="22" spans="1:34" x14ac:dyDescent="0.45">
      <c r="A22" s="1" t="s">
        <v>11</v>
      </c>
      <c r="B22" s="3">
        <f>ABS(B20)*$B$3</f>
        <v>8.6318972169698505</v>
      </c>
      <c r="C22" s="3">
        <f t="shared" ref="C22:F22" si="62">ABS(C20)*$B$3</f>
        <v>4.3481289184507599</v>
      </c>
      <c r="D22" s="3">
        <f t="shared" si="62"/>
        <v>2.1821998512318999</v>
      </c>
      <c r="E22" s="3">
        <f t="shared" si="62"/>
        <v>1.0931452110660516</v>
      </c>
      <c r="F22" s="3">
        <f t="shared" si="62"/>
        <v>0.72921911860912314</v>
      </c>
      <c r="H22" s="1" t="s">
        <v>11</v>
      </c>
      <c r="I22" s="3">
        <f>ABS(I20)*$B$3</f>
        <v>12.742324463145973</v>
      </c>
      <c r="J22" s="3">
        <f t="shared" ref="J22:M22" si="63">ABS(J20)*$B$3</f>
        <v>6.4186664986654085</v>
      </c>
      <c r="K22" s="3">
        <f t="shared" si="63"/>
        <v>3.2213426375328056</v>
      </c>
      <c r="L22" s="3">
        <f t="shared" si="63"/>
        <v>1.6136905496689335</v>
      </c>
      <c r="M22" s="3">
        <f t="shared" si="63"/>
        <v>1.076466317946801</v>
      </c>
      <c r="O22" s="1" t="s">
        <v>11</v>
      </c>
      <c r="P22" s="3">
        <f>ABS(P20)*$B$3</f>
        <v>16.724300857879083</v>
      </c>
      <c r="Q22" s="3">
        <f t="shared" ref="Q22:T22" si="64">ABS(Q20)*$B$3</f>
        <v>8.4244997794983476</v>
      </c>
      <c r="R22" s="3">
        <f t="shared" si="64"/>
        <v>4.2280122117618069</v>
      </c>
      <c r="S22" s="3">
        <f t="shared" si="64"/>
        <v>2.1179688464404749</v>
      </c>
      <c r="T22" s="3">
        <f t="shared" si="64"/>
        <v>1.4128620423051763</v>
      </c>
      <c r="V22" s="1" t="s">
        <v>11</v>
      </c>
      <c r="W22" s="3">
        <f>ABS(W20)*$B$3</f>
        <v>18.668987004144093</v>
      </c>
      <c r="X22" s="3">
        <f t="shared" ref="X22:AA22" si="65">ABS(X20)*$B$3</f>
        <v>9.4040927771144336</v>
      </c>
      <c r="Y22" s="3">
        <f t="shared" si="65"/>
        <v>4.7196415387108548</v>
      </c>
      <c r="Z22" s="3">
        <f t="shared" si="65"/>
        <v>2.3642442937009953</v>
      </c>
      <c r="AA22" s="3">
        <f t="shared" si="65"/>
        <v>1.5771483262941504</v>
      </c>
      <c r="AC22" s="1" t="s">
        <v>11</v>
      </c>
      <c r="AD22" s="3">
        <f>ABS(AD20)*$B$3</f>
        <v>19.821393609338173</v>
      </c>
      <c r="AE22" s="3">
        <f t="shared" ref="AE22:AH22" si="66">ABS(AE20)*$B$3</f>
        <v>9.9845923312572999</v>
      </c>
      <c r="AF22" s="3">
        <f t="shared" si="66"/>
        <v>5.0109774361621406</v>
      </c>
      <c r="AG22" s="3">
        <f t="shared" si="66"/>
        <v>2.5101852994850073</v>
      </c>
      <c r="AH22" s="3">
        <f t="shared" si="66"/>
        <v>1.674503161250579</v>
      </c>
    </row>
    <row r="23" spans="1:34" x14ac:dyDescent="0.45">
      <c r="A23" s="5" t="s">
        <v>23</v>
      </c>
      <c r="B23" s="3">
        <f>$B$1*B16</f>
        <v>8.9057634526085783E-2</v>
      </c>
      <c r="C23" s="3">
        <f t="shared" ref="C23:F23" si="67">$B$1*C16</f>
        <v>8.0663038099950526E-2</v>
      </c>
      <c r="D23" s="3">
        <f t="shared" si="67"/>
        <v>6.7868442964196501E-2</v>
      </c>
      <c r="E23" s="3">
        <f t="shared" si="67"/>
        <v>5.1523388116308473E-2</v>
      </c>
      <c r="F23" s="3">
        <f t="shared" si="67"/>
        <v>4.1523178807947023E-2</v>
      </c>
      <c r="H23" s="5" t="s">
        <v>23</v>
      </c>
      <c r="I23" s="3">
        <f>$B$1*I16</f>
        <v>8.9057634526085783E-2</v>
      </c>
      <c r="J23" s="3">
        <f t="shared" ref="J23:M23" si="68">$B$1*J16</f>
        <v>8.0663038099950526E-2</v>
      </c>
      <c r="K23" s="3">
        <f t="shared" si="68"/>
        <v>6.7868442964196501E-2</v>
      </c>
      <c r="L23" s="3">
        <f t="shared" si="68"/>
        <v>5.1523388116308473E-2</v>
      </c>
      <c r="M23" s="3">
        <f t="shared" si="68"/>
        <v>4.1523178807947023E-2</v>
      </c>
      <c r="O23" s="5" t="s">
        <v>23</v>
      </c>
      <c r="P23" s="3">
        <f>$B$1*P16</f>
        <v>8.9057634526085783E-2</v>
      </c>
      <c r="Q23" s="3">
        <f t="shared" ref="Q23:T23" si="69">$B$1*Q16</f>
        <v>8.0663038099950526E-2</v>
      </c>
      <c r="R23" s="3">
        <f t="shared" si="69"/>
        <v>6.7868442964196501E-2</v>
      </c>
      <c r="S23" s="3">
        <f t="shared" si="69"/>
        <v>5.1523388116308473E-2</v>
      </c>
      <c r="T23" s="3">
        <f t="shared" si="69"/>
        <v>4.1523178807947023E-2</v>
      </c>
      <c r="V23" s="5" t="s">
        <v>23</v>
      </c>
      <c r="W23" s="3">
        <f>$B$1*W16</f>
        <v>8.9057634526085783E-2</v>
      </c>
      <c r="X23" s="3">
        <f t="shared" ref="X23:AA23" si="70">$B$1*X16</f>
        <v>8.0663038099950526E-2</v>
      </c>
      <c r="Y23" s="3">
        <f t="shared" si="70"/>
        <v>6.7868442964196501E-2</v>
      </c>
      <c r="Z23" s="3">
        <f t="shared" si="70"/>
        <v>5.1523388116308473E-2</v>
      </c>
      <c r="AA23" s="3">
        <f t="shared" si="70"/>
        <v>4.1523178807947023E-2</v>
      </c>
      <c r="AC23" s="5" t="s">
        <v>23</v>
      </c>
      <c r="AD23" s="3">
        <f>$B$1*AD16</f>
        <v>8.9057634526085783E-2</v>
      </c>
      <c r="AE23" s="3">
        <f t="shared" ref="AE23:AH23" si="71">$B$1*AE16</f>
        <v>8.0663038099950526E-2</v>
      </c>
      <c r="AF23" s="3">
        <f t="shared" si="71"/>
        <v>6.7868442964196501E-2</v>
      </c>
      <c r="AG23" s="3">
        <f t="shared" si="71"/>
        <v>5.1523388116308473E-2</v>
      </c>
      <c r="AH23" s="3">
        <f t="shared" si="71"/>
        <v>4.1523178807947023E-2</v>
      </c>
    </row>
    <row r="24" spans="1:34" x14ac:dyDescent="0.45">
      <c r="A24" s="5" t="s">
        <v>24</v>
      </c>
      <c r="B24" s="3">
        <f>B29^2/(2*B14)</f>
        <v>2.8955813104625871E-2</v>
      </c>
      <c r="C24" s="3">
        <f t="shared" ref="C24:F24" si="72">C29^2/(2*C14)</f>
        <v>1.0193943632604903E-2</v>
      </c>
      <c r="D24" s="3">
        <f t="shared" si="72"/>
        <v>3.6782357633851578E-3</v>
      </c>
      <c r="E24" s="3">
        <f t="shared" si="72"/>
        <v>1.0863331386151294E-3</v>
      </c>
      <c r="F24" s="3">
        <f t="shared" si="72"/>
        <v>4.834186572227878E-4</v>
      </c>
      <c r="H24" s="5" t="s">
        <v>24</v>
      </c>
      <c r="I24" s="3">
        <f>I29^2/(2*B14)</f>
        <v>6.3098721980828748E-2</v>
      </c>
      <c r="J24" s="3">
        <f t="shared" ref="J24:M24" si="73">J29^2/(2*C14)</f>
        <v>2.2214013222071009E-2</v>
      </c>
      <c r="K24" s="3">
        <f t="shared" si="73"/>
        <v>8.0153845093268433E-3</v>
      </c>
      <c r="L24" s="3">
        <f t="shared" si="73"/>
        <v>2.367270172809841E-3</v>
      </c>
      <c r="M24" s="3">
        <f t="shared" si="73"/>
        <v>1.0534361215217667E-3</v>
      </c>
      <c r="O24" s="5" t="s">
        <v>24</v>
      </c>
      <c r="P24" s="3">
        <f>P29^2/(2*P14)</f>
        <v>2.7174351946821728E-2</v>
      </c>
      <c r="Q24" s="3">
        <f t="shared" ref="Q24:T24" si="74">Q29^2/(2*Q14)</f>
        <v>9.5667771786458154E-3</v>
      </c>
      <c r="R24" s="3">
        <f t="shared" si="74"/>
        <v>3.4519380552862668E-3</v>
      </c>
      <c r="S24" s="3">
        <f t="shared" si="74"/>
        <v>1.0194981896573627E-3</v>
      </c>
      <c r="T24" s="3">
        <f t="shared" si="74"/>
        <v>4.5367707967880786E-4</v>
      </c>
      <c r="V24" s="5" t="s">
        <v>24</v>
      </c>
      <c r="W24" s="3">
        <f>W29^2/(W14*2)</f>
        <v>2.2574258837381386E-2</v>
      </c>
      <c r="X24" s="3">
        <f>X28^2/(X14*2)</f>
        <v>1.0941618311440461E-3</v>
      </c>
      <c r="Y24" s="3">
        <f t="shared" ref="Y24:AA24" si="75">Y28^2/(Y14*2)</f>
        <v>8.1190711014519521E-4</v>
      </c>
      <c r="Z24" s="3">
        <f t="shared" si="75"/>
        <v>3.7384865155641508E-4</v>
      </c>
      <c r="AA24" s="3">
        <f t="shared" si="75"/>
        <v>3.7384865155641508E-4</v>
      </c>
      <c r="AC24" s="5" t="s">
        <v>24</v>
      </c>
      <c r="AD24" s="3">
        <f>AD29^2/(2*AD14)</f>
        <v>1.9085415907781521E-2</v>
      </c>
      <c r="AE24" s="3">
        <f>AE29^2/(2*AE14)</f>
        <v>6.7190533819844397E-3</v>
      </c>
      <c r="AF24" s="3">
        <f>AF29^2/(2*AF14)</f>
        <v>2.4244064256605876E-3</v>
      </c>
      <c r="AG24" s="3">
        <f>AG29^2/(2*AG14)</f>
        <v>7.1602616338075405E-4</v>
      </c>
      <c r="AH24" s="3">
        <f>AH29^2/(2*AH14)</f>
        <v>3.1863191329979342E-4</v>
      </c>
    </row>
    <row r="25" spans="1:34" x14ac:dyDescent="0.45">
      <c r="A25" s="5" t="s">
        <v>22</v>
      </c>
      <c r="B25" s="3">
        <f>(B24/B23)*100</f>
        <v>32.513566364874031</v>
      </c>
      <c r="C25" s="3">
        <f t="shared" ref="C25:F25" si="76">(C24/C23)*100</f>
        <v>12.637688677152809</v>
      </c>
      <c r="D25" s="3">
        <f t="shared" si="76"/>
        <v>5.419655443289872</v>
      </c>
      <c r="E25" s="3">
        <f t="shared" si="76"/>
        <v>2.1084272178740457</v>
      </c>
      <c r="F25" s="3">
        <f t="shared" si="76"/>
        <v>1.1642139910788032</v>
      </c>
      <c r="H25" s="5" t="s">
        <v>22</v>
      </c>
      <c r="I25" s="3">
        <f>(I24/I23)*100</f>
        <v>70.851558450439825</v>
      </c>
      <c r="J25" s="3">
        <f t="shared" ref="J25:M25" si="77">(J24/J23)*100</f>
        <v>27.539271697831865</v>
      </c>
      <c r="K25" s="3">
        <f t="shared" si="77"/>
        <v>11.810178868484284</v>
      </c>
      <c r="L25" s="3">
        <f t="shared" si="77"/>
        <v>4.5945545496076168</v>
      </c>
      <c r="M25" s="3">
        <f t="shared" si="77"/>
        <v>2.5369833229631062</v>
      </c>
      <c r="O25" s="5" t="s">
        <v>22</v>
      </c>
      <c r="P25" s="2">
        <f>(P24/P23)*100</f>
        <v>30.51321999672259</v>
      </c>
      <c r="Q25" s="2">
        <f t="shared" ref="Q25:T25" si="78">(Q24/Q23)*100</f>
        <v>11.860174627679543</v>
      </c>
      <c r="R25" s="2">
        <f t="shared" si="78"/>
        <v>5.0862196103530932</v>
      </c>
      <c r="S25" s="2">
        <f t="shared" si="78"/>
        <v>1.9787095277118731</v>
      </c>
      <c r="T25" s="2">
        <f t="shared" si="78"/>
        <v>1.0925875443620412</v>
      </c>
      <c r="V25" s="5" t="s">
        <v>22</v>
      </c>
      <c r="W25" s="2">
        <f>(W24/W23)*100</f>
        <v>25.3479209924099</v>
      </c>
      <c r="X25" s="2">
        <f>(X24/X23)*100</f>
        <v>1.3564599808257374</v>
      </c>
      <c r="Y25" s="2">
        <f t="shared" ref="X25:AA25" si="79">(Y24/Y23)*100</f>
        <v>1.1962954720701504</v>
      </c>
      <c r="Z25" s="2">
        <f t="shared" si="79"/>
        <v>0.72559019354956278</v>
      </c>
      <c r="AA25" s="2">
        <f t="shared" si="79"/>
        <v>0.9003372629189581</v>
      </c>
      <c r="AC25" s="5" t="s">
        <v>22</v>
      </c>
      <c r="AD25" s="3">
        <f>(AD24/AD23)*100</f>
        <v>21.430409654762649</v>
      </c>
      <c r="AE25" s="3">
        <f t="shared" ref="AE25:AH25" si="80">(AE24/AE23)*100</f>
        <v>8.3297797110725984</v>
      </c>
      <c r="AF25" s="3">
        <f t="shared" si="80"/>
        <v>3.5722145960230227</v>
      </c>
      <c r="AG25" s="3">
        <f t="shared" si="80"/>
        <v>1.389710944017118</v>
      </c>
      <c r="AH25" s="3">
        <f t="shared" si="80"/>
        <v>0.76735915324192672</v>
      </c>
    </row>
    <row r="27" spans="1:34" x14ac:dyDescent="0.45">
      <c r="A27" s="5" t="s">
        <v>25</v>
      </c>
      <c r="B27" s="8">
        <f>IF(B21&gt;=B22, PI()/2, ASIN(B21/B22))</f>
        <v>0.24655491013270531</v>
      </c>
      <c r="C27" s="8">
        <f t="shared" ref="C27:F27" si="81">IF(C21&gt;=C22, PI()/2, ASIN(C21/C22))</f>
        <v>0.45431371653269953</v>
      </c>
      <c r="D27" s="8">
        <f t="shared" si="81"/>
        <v>0.82673047044404757</v>
      </c>
      <c r="E27" s="8">
        <f t="shared" si="81"/>
        <v>1.5707963267948966</v>
      </c>
      <c r="F27" s="8">
        <f t="shared" si="81"/>
        <v>1.5707963267948966</v>
      </c>
      <c r="H27" s="5" t="s">
        <v>25</v>
      </c>
      <c r="I27" s="8">
        <f>IF(I21&gt;=I22, PI()/2, ASIN(I21/I22))</f>
        <v>0.24655491013270525</v>
      </c>
      <c r="J27" s="8">
        <f t="shared" ref="J27:M27" si="82">IF(J21&gt;=J22, PI()/2, ASIN(J21/J22))</f>
        <v>0.45431371653269953</v>
      </c>
      <c r="K27" s="8">
        <f t="shared" si="82"/>
        <v>0.82673047044404724</v>
      </c>
      <c r="L27" s="8">
        <f t="shared" si="82"/>
        <v>1.5707963267948966</v>
      </c>
      <c r="M27" s="8">
        <f t="shared" si="82"/>
        <v>1.5707963267948966</v>
      </c>
      <c r="O27" s="5" t="s">
        <v>25</v>
      </c>
      <c r="P27" s="8">
        <f>IF(P21&gt;=P22, PI()/2, ASIN(P21/P22))</f>
        <v>0.24655491013270536</v>
      </c>
      <c r="Q27" s="8">
        <f t="shared" ref="Q27:T27" si="83">IF(Q21&gt;=Q22, PI()/2, ASIN(Q21/Q22))</f>
        <v>0.45431371653269953</v>
      </c>
      <c r="R27" s="8">
        <f t="shared" si="83"/>
        <v>0.82673047044404724</v>
      </c>
      <c r="S27" s="8">
        <f t="shared" si="83"/>
        <v>1.5707963267948966</v>
      </c>
      <c r="T27" s="8">
        <f t="shared" si="83"/>
        <v>1.5707963267948966</v>
      </c>
      <c r="V27" s="5" t="s">
        <v>25</v>
      </c>
      <c r="W27" s="8">
        <f>IF(W21&gt;=W22, PI()/2, ASIN(W21/W22))</f>
        <v>0.24655491013270536</v>
      </c>
      <c r="X27" s="8">
        <f t="shared" ref="X27:AA27" si="84">IF(X21&gt;=X22, PI()/2, ASIN(X21/X22))</f>
        <v>0.45431371653269953</v>
      </c>
      <c r="Y27" s="8">
        <f t="shared" si="84"/>
        <v>0.82673047044404724</v>
      </c>
      <c r="Z27" s="8">
        <f t="shared" si="84"/>
        <v>1.5707963267948966</v>
      </c>
      <c r="AA27" s="8">
        <f t="shared" si="84"/>
        <v>1.5707963267948966</v>
      </c>
      <c r="AC27" s="5" t="s">
        <v>25</v>
      </c>
      <c r="AD27" s="8">
        <f>IF(AD21&gt;=AD22, PI()/2, ASIN(AD21/AD22))</f>
        <v>0.24655491013270536</v>
      </c>
      <c r="AE27" s="8">
        <f t="shared" ref="AE27:AH27" si="85">IF(AE21&gt;=AE22, PI()/2, ASIN(AE21/AE22))</f>
        <v>0.45431371653269953</v>
      </c>
      <c r="AF27" s="8">
        <f t="shared" si="85"/>
        <v>0.82673047044404746</v>
      </c>
      <c r="AG27" s="8">
        <f t="shared" si="85"/>
        <v>1.5707963267948966</v>
      </c>
      <c r="AH27" s="8">
        <f t="shared" si="85"/>
        <v>1.5707963267948966</v>
      </c>
    </row>
    <row r="28" spans="1:34" x14ac:dyDescent="0.45">
      <c r="A28" s="5" t="s">
        <v>26</v>
      </c>
      <c r="B28" s="8">
        <f>PI() - B27</f>
        <v>2.8950377434570878</v>
      </c>
      <c r="C28" s="8">
        <f t="shared" ref="C28:F28" si="86">PI() - C27</f>
        <v>2.6872789370570938</v>
      </c>
      <c r="D28" s="8">
        <f t="shared" si="86"/>
        <v>2.3148621831457454</v>
      </c>
      <c r="E28" s="8">
        <f t="shared" si="86"/>
        <v>1.5707963267948966</v>
      </c>
      <c r="F28" s="8">
        <f t="shared" si="86"/>
        <v>1.5707963267948966</v>
      </c>
      <c r="H28" s="5" t="s">
        <v>26</v>
      </c>
      <c r="I28" s="8">
        <f>PI() - I27</f>
        <v>2.8950377434570878</v>
      </c>
      <c r="J28" s="8">
        <f t="shared" ref="J28:M28" si="87">PI() - J27</f>
        <v>2.6872789370570938</v>
      </c>
      <c r="K28" s="8">
        <f t="shared" si="87"/>
        <v>2.3148621831457459</v>
      </c>
      <c r="L28" s="8">
        <f t="shared" si="87"/>
        <v>1.5707963267948966</v>
      </c>
      <c r="M28" s="8">
        <f t="shared" si="87"/>
        <v>1.5707963267948966</v>
      </c>
      <c r="O28" s="5" t="s">
        <v>26</v>
      </c>
      <c r="P28" s="8">
        <f>PI() - P27</f>
        <v>2.8950377434570878</v>
      </c>
      <c r="Q28" s="8">
        <f t="shared" ref="Q28:T28" si="88">PI() - Q27</f>
        <v>2.6872789370570938</v>
      </c>
      <c r="R28" s="8">
        <f t="shared" si="88"/>
        <v>2.3148621831457459</v>
      </c>
      <c r="S28" s="8">
        <f t="shared" si="88"/>
        <v>1.5707963267948966</v>
      </c>
      <c r="T28" s="8">
        <f t="shared" si="88"/>
        <v>1.5707963267948966</v>
      </c>
      <c r="V28" s="5" t="s">
        <v>26</v>
      </c>
      <c r="W28" s="8">
        <f>PI() - W27</f>
        <v>2.8950377434570878</v>
      </c>
      <c r="X28" s="8">
        <f t="shared" ref="X28:AA28" si="89">PI() - X27</f>
        <v>2.6872789370570938</v>
      </c>
      <c r="Y28" s="8">
        <f t="shared" si="89"/>
        <v>2.3148621831457459</v>
      </c>
      <c r="Z28" s="8">
        <f t="shared" si="89"/>
        <v>1.5707963267948966</v>
      </c>
      <c r="AA28" s="8">
        <f t="shared" si="89"/>
        <v>1.5707963267948966</v>
      </c>
      <c r="AC28" s="5" t="s">
        <v>26</v>
      </c>
      <c r="AD28" s="8">
        <f>PI() - AD27</f>
        <v>2.8950377434570878</v>
      </c>
      <c r="AE28" s="8">
        <f t="shared" ref="AE28:AH28" si="90">PI() - AE27</f>
        <v>2.6872789370570938</v>
      </c>
      <c r="AF28" s="8">
        <f t="shared" si="90"/>
        <v>2.3148621831457454</v>
      </c>
      <c r="AG28" s="8">
        <f t="shared" si="90"/>
        <v>1.5707963267948966</v>
      </c>
      <c r="AH28" s="8">
        <f t="shared" si="90"/>
        <v>1.5707963267948966</v>
      </c>
    </row>
    <row r="29" spans="1:34" x14ac:dyDescent="0.45">
      <c r="A29" s="5">
        <v>1</v>
      </c>
      <c r="B29" s="8">
        <f xml:space="preserve"> (1/PI())*(B22*(PI()/2 + B27 - SIN(2*B27)/2) + 2*B21*COS(B27))</f>
        <v>5.6437039623892797</v>
      </c>
      <c r="C29" s="8">
        <f t="shared" ref="C29:F29" si="91" xml:space="preserve"> (1/PI())*(C22*(PI()/2 + C27 - SIN(2*C27)/2) + 2*C21*COS(C27))</f>
        <v>3.3486322574844483</v>
      </c>
      <c r="D29" s="8">
        <f t="shared" si="91"/>
        <v>2.0114818765585918</v>
      </c>
      <c r="E29" s="8">
        <f t="shared" si="91"/>
        <v>1.0931452110660516</v>
      </c>
      <c r="F29" s="8">
        <f t="shared" si="91"/>
        <v>0.72921911860912325</v>
      </c>
      <c r="H29" s="5">
        <v>1</v>
      </c>
      <c r="I29" s="8">
        <f xml:space="preserve"> (1/PI())*(I22*(PI()/2 + I27 - SIN(2*I27)/2) + 2*I21*COS(I27))</f>
        <v>8.3311820397175111</v>
      </c>
      <c r="J29" s="8">
        <f t="shared" ref="J29:M29" si="92" xml:space="preserve"> (1/PI())*(J22*(PI()/2 + J27 - SIN(2*J27)/2) + 2*J21*COS(J27))</f>
        <v>4.9432190467627581</v>
      </c>
      <c r="K29" s="8">
        <f t="shared" si="92"/>
        <v>2.9693303892055405</v>
      </c>
      <c r="L29" s="8">
        <f t="shared" si="92"/>
        <v>1.6136905496689335</v>
      </c>
      <c r="M29" s="8">
        <f t="shared" si="92"/>
        <v>1.076466317946801</v>
      </c>
      <c r="O29" s="5">
        <v>1</v>
      </c>
      <c r="P29" s="8">
        <f xml:space="preserve"> (1/PI())*(P22*(PI()/2 + P27 - SIN(2*P27)/2) + 2*P21*COS(P27))</f>
        <v>10.934676427129228</v>
      </c>
      <c r="Q29" s="8">
        <f t="shared" ref="Q29:T29" si="93" xml:space="preserve"> (1/PI())*(Q22*(PI()/2 + Q27 - SIN(2*Q27)/2) + 2*Q21*COS(Q27))</f>
        <v>6.4879749988761199</v>
      </c>
      <c r="R29" s="8">
        <f t="shared" si="93"/>
        <v>3.8972461358322716</v>
      </c>
      <c r="S29" s="8">
        <f t="shared" si="93"/>
        <v>2.1179688464404749</v>
      </c>
      <c r="T29" s="8">
        <f t="shared" si="93"/>
        <v>1.4128620423051765</v>
      </c>
      <c r="V29" s="5" t="s">
        <v>27</v>
      </c>
      <c r="W29" s="8">
        <f xml:space="preserve"> (1/PI())*(W22*(PI()/2 + W27 - SIN(2*W27)/2) + 2*W21*COS(W27))</f>
        <v>12.20615043028379</v>
      </c>
      <c r="X29" s="8">
        <f t="shared" ref="X29:AA29" si="94" xml:space="preserve"> (1/PI())*(X22*(PI()/2 + X27 - SIN(2*X27)/2) + 2*X21*COS(X27))</f>
        <v>7.2423906964198537</v>
      </c>
      <c r="Y29" s="8">
        <f t="shared" si="94"/>
        <v>4.3504142911616066</v>
      </c>
      <c r="Z29" s="8">
        <f t="shared" si="94"/>
        <v>2.3642442937009953</v>
      </c>
      <c r="AA29" s="8">
        <f t="shared" si="94"/>
        <v>1.5771483262941504</v>
      </c>
      <c r="AC29" s="5" t="s">
        <v>27</v>
      </c>
      <c r="AD29" s="8">
        <f xml:space="preserve"> (1/PI())*(AD22*(PI()/2 + AD27 - SIN(2*AD27)/2) + 2*AD21*COS(AD27))</f>
        <v>12.959616506227235</v>
      </c>
      <c r="AE29" s="8">
        <f t="shared" ref="AE29:AH29" si="95" xml:space="preserve"> (1/PI())*(AE22*(PI()/2 + AE27 - SIN(2*AE27)/2) + 2*AE21*COS(AE27))</f>
        <v>7.6894518505198448</v>
      </c>
      <c r="AF29" s="8">
        <f t="shared" si="95"/>
        <v>4.6189583832086178</v>
      </c>
      <c r="AG29" s="8">
        <f t="shared" si="95"/>
        <v>2.5101852994850073</v>
      </c>
      <c r="AH29" s="8">
        <f t="shared" si="95"/>
        <v>1.674503161250579</v>
      </c>
    </row>
    <row r="30" spans="1:34" x14ac:dyDescent="0.45">
      <c r="A30" s="5">
        <v>2</v>
      </c>
      <c r="B30" s="8">
        <f>(2/PI()) * ABS( (B22 * COS(B27))/2 - (B22 * COS(3*B27))/6 - (B21 * SIN(2*B27))/2 )</f>
        <v>1.6705388648405557</v>
      </c>
      <c r="C30" s="8">
        <f t="shared" ref="C30:F30" si="96">(2/PI()) * ABS( (C22 * COS(C27))/2 - (C22 * COS(3*C27))/6 - (C21 * SIN(2*C27))/2 )</f>
        <v>0.6694313139687168</v>
      </c>
      <c r="D30" s="8">
        <f t="shared" si="96"/>
        <v>0.14386907405231825</v>
      </c>
      <c r="E30" s="8">
        <f t="shared" si="96"/>
        <v>4.9015266423595852E-18</v>
      </c>
      <c r="F30" s="8">
        <f t="shared" si="96"/>
        <v>9.8683500437931205E-18</v>
      </c>
      <c r="H30" s="5">
        <v>2</v>
      </c>
      <c r="I30" s="8">
        <f>(2/PI()) * ABS( (I22 * COS(I27))/2 - (I22 * COS(3*I27))/6 - (I21 * SIN(2*I27))/2 )</f>
        <v>2.4660335623836782</v>
      </c>
      <c r="J30" s="8">
        <f t="shared" ref="J30:M30" si="97">(2/PI()) * ABS( (J22 * COS(J27))/2 - (J22 * COS(3*J27))/6 - (J21 * SIN(2*J27))/2 )</f>
        <v>0.98820813014429632</v>
      </c>
      <c r="K30" s="8">
        <f t="shared" si="97"/>
        <v>0.21237815693437484</v>
      </c>
      <c r="L30" s="8">
        <f t="shared" si="97"/>
        <v>7.2355869482451152E-18</v>
      </c>
      <c r="M30" s="8">
        <f t="shared" si="97"/>
        <v>1.456756435036127E-17</v>
      </c>
      <c r="O30" s="5">
        <v>2</v>
      </c>
      <c r="P30" s="8">
        <f>(2/PI()) * ABS( (P22 * COS(P27))/2 - (P22 * COS(3*P27))/6 - (P21 * SIN(2*P27))/2 )</f>
        <v>3.2366690506285765</v>
      </c>
      <c r="Q30" s="8">
        <f t="shared" ref="Q30:T30" si="98">(2/PI()) * ABS( (Q22 * COS(Q27))/2 - (Q22 * COS(3*Q27))/6 - (Q21 * SIN(2*Q27))/2 )</f>
        <v>1.2970231708143887</v>
      </c>
      <c r="R30" s="8">
        <f t="shared" si="98"/>
        <v>0.27874633097636703</v>
      </c>
      <c r="S30" s="8">
        <f t="shared" si="98"/>
        <v>9.4967078695717151E-18</v>
      </c>
      <c r="T30" s="8">
        <f t="shared" si="98"/>
        <v>1.9119928209849165E-17</v>
      </c>
      <c r="V30" s="5" t="s">
        <v>28</v>
      </c>
      <c r="W30" s="8">
        <f>(2/PI()) * ABS( (W22 * COS(W27))/2 - (W22 * COS(3*W27))/6 - (W21 * SIN(2*W27))/2 )</f>
        <v>3.6130259169807362</v>
      </c>
      <c r="X30" s="8">
        <f t="shared" ref="X30:AA30" si="99">(2/PI()) * ABS( (X22 * COS(X27))/2 - (X22 * COS(3*X27))/6 - (X21 * SIN(2*X27))/2 )</f>
        <v>1.4478398185835033</v>
      </c>
      <c r="Y30" s="8">
        <f t="shared" si="99"/>
        <v>0.31115869504338645</v>
      </c>
      <c r="Z30" s="8">
        <f t="shared" si="99"/>
        <v>1.0600976226498649E-17</v>
      </c>
      <c r="AA30" s="8">
        <f t="shared" si="99"/>
        <v>2.1343175676110696E-17</v>
      </c>
      <c r="AC30" s="5" t="s">
        <v>28</v>
      </c>
      <c r="AD30" s="8">
        <f>(2/PI()) * ABS( (AD22 * COS(AD27))/2 - (AD22 * COS(3*AD27))/6 - (AD21 * SIN(2*AD27))/2 )</f>
        <v>3.8360522081523865</v>
      </c>
      <c r="AE30" s="8">
        <f t="shared" ref="AE30:AH30" si="100">(2/PI()) * ABS( (AE22 * COS(AE27))/2 - (AE22 * COS(3*AE27))/6 - (AE21 * SIN(2*AE27))/2 )</f>
        <v>1.5372126468911274</v>
      </c>
      <c r="AF30" s="8">
        <f t="shared" si="100"/>
        <v>0.33036602189791636</v>
      </c>
      <c r="AG30" s="8">
        <f t="shared" si="100"/>
        <v>1.1255357475047948E-17</v>
      </c>
      <c r="AH30" s="8">
        <f t="shared" si="100"/>
        <v>2.266065565611754E-17</v>
      </c>
    </row>
    <row r="31" spans="1:34" x14ac:dyDescent="0.45">
      <c r="A31" s="5">
        <v>3</v>
      </c>
      <c r="B31" s="8">
        <f>(2/PI()) * ABS((B22 * SIN(2*B27))/4 - (B22 * SIN(4*B27))/8 - (B21 * COS(3*B27))/3)</f>
        <v>0.25276835331871855</v>
      </c>
      <c r="C31" s="8">
        <f t="shared" ref="C31:F31" si="101">(2/PI()) * ABS((C22 * SIN(2*C27))/4 - (C22 * SIN(4*C27))/8 - (C21 * COS(3*C27))/3)</f>
        <v>0.1266555925934254</v>
      </c>
      <c r="D31" s="8">
        <f t="shared" si="101"/>
        <v>0.64355526354477965</v>
      </c>
      <c r="E31" s="8">
        <f t="shared" si="101"/>
        <v>9.0161795175136863E-17</v>
      </c>
      <c r="F31" s="8">
        <f t="shared" si="101"/>
        <v>6.6744067233476054E-17</v>
      </c>
      <c r="H31" s="5">
        <v>3</v>
      </c>
      <c r="I31" s="8">
        <f>(2/PI()) * ABS((I22 * SIN(2*I27))/4 - (I22 * SIN(4*I27))/8 - (I21 * COS(3*I27))/3)</f>
        <v>0.3731342358514419</v>
      </c>
      <c r="J31" s="8">
        <f t="shared" ref="J31:M31" si="102">(2/PI()) * ABS((J22 * SIN(2*J27))/4 - (J22 * SIN(4*J27))/8 - (J21 * COS(3*J27))/3)</f>
        <v>0.18696777954267549</v>
      </c>
      <c r="K31" s="8">
        <f t="shared" si="102"/>
        <v>0.95001015094705521</v>
      </c>
      <c r="L31" s="8">
        <f t="shared" si="102"/>
        <v>1.3309598335377348E-16</v>
      </c>
      <c r="M31" s="8">
        <f t="shared" si="102"/>
        <v>9.8526956392274184E-17</v>
      </c>
      <c r="O31" s="5">
        <v>3</v>
      </c>
      <c r="P31" s="8">
        <f>(2/PI()) * ABS((P22 * SIN(2*P27))/4 - (P22 * SIN(4*P27))/8 - (P21 * COS(3*P27))/3)</f>
        <v>0.48973868455501718</v>
      </c>
      <c r="Q31" s="8">
        <f t="shared" ref="Q31:T31" si="103">(2/PI()) * ABS((Q22 * SIN(2*Q27))/4 - (Q22 * SIN(4*Q27))/8 - (Q21 * COS(3*Q27))/3)</f>
        <v>0.24539521064976158</v>
      </c>
      <c r="R31" s="8">
        <f t="shared" si="103"/>
        <v>1.2468883231180099</v>
      </c>
      <c r="S31" s="8">
        <f t="shared" si="103"/>
        <v>1.7468847815182764E-16</v>
      </c>
      <c r="T31" s="8">
        <f t="shared" si="103"/>
        <v>1.2931663026485984E-16</v>
      </c>
      <c r="V31" s="5" t="s">
        <v>29</v>
      </c>
      <c r="W31" s="8">
        <f>(2/PI()) * ABS((W22 * SIN(2*W27))/4 - (W22 * SIN(4*W27))/8 - (W21 * COS(3*W27))/3)</f>
        <v>0.54668504322420508</v>
      </c>
      <c r="X31" s="8">
        <f t="shared" ref="X31:AA31" si="104">(2/PI()) * ABS((X22 * SIN(2*X27))/4 - (X22 * SIN(4*X27))/8 - (X21 * COS(3*X27))/3)</f>
        <v>0.27392953746950138</v>
      </c>
      <c r="Y31" s="8">
        <f t="shared" si="104"/>
        <v>1.3918753374340576</v>
      </c>
      <c r="Z31" s="8">
        <f t="shared" si="104"/>
        <v>1.9500109189041229E-16</v>
      </c>
      <c r="AA31" s="8">
        <f t="shared" si="104"/>
        <v>1.44353447737518E-16</v>
      </c>
      <c r="AC31" s="5" t="s">
        <v>29</v>
      </c>
      <c r="AD31" s="8">
        <f>(2/PI()) * ABS((AD22 * SIN(2*AD27))/4 - (AD22 * SIN(4*AD27))/8 - (AD21 * COS(3*AD27))/3)</f>
        <v>0.5804310335466869</v>
      </c>
      <c r="AE31" s="8">
        <f t="shared" ref="AE31:AH31" si="105">(2/PI()) * ABS((AE22 * SIN(2*AE27))/4 - (AE22 * SIN(4*AE27))/8 - (AE21 * COS(3*AE27))/3)</f>
        <v>0.29083876817749527</v>
      </c>
      <c r="AF31" s="8">
        <f t="shared" si="105"/>
        <v>1.477793568139864</v>
      </c>
      <c r="AG31" s="8">
        <f t="shared" si="105"/>
        <v>2.0703819632809206E-16</v>
      </c>
      <c r="AH31" s="8">
        <f t="shared" si="105"/>
        <v>1.53264154387982E-16</v>
      </c>
    </row>
    <row r="32" spans="1:34" x14ac:dyDescent="0.45">
      <c r="A32" s="5">
        <v>4</v>
      </c>
      <c r="B32" s="8">
        <f>(2/PI()) * ABS((B22 * COS(3*B27))/6 - (B22 * COS(5*B27))/10 - (B21 * SIN(4*B27))/4)</f>
        <v>0.21469601698151106</v>
      </c>
      <c r="C32" s="8">
        <f t="shared" ref="C32:F32" si="106">(2/PI()) * ABS((C22 * COS(3*C27))/6 - (C22 * COS(5*C27))/10 - (C21 * SIN(4*C27))/4)</f>
        <v>2.0821127589599614E-2</v>
      </c>
      <c r="D32" s="8">
        <f t="shared" si="106"/>
        <v>6.4675234361775621E-2</v>
      </c>
      <c r="E32" s="8">
        <f t="shared" si="106"/>
        <v>4.9015266423595852E-18</v>
      </c>
      <c r="F32" s="8">
        <f t="shared" si="106"/>
        <v>9.8683500437931205E-18</v>
      </c>
      <c r="H32" s="5">
        <v>4</v>
      </c>
      <c r="I32" s="8">
        <f>(2/PI()) * ABS((I22 * COS(3*I27))/6 - (I22 * COS(5*I27))/10 - (I21 * SIN(4*I27))/4)</f>
        <v>0.31693221554413559</v>
      </c>
      <c r="J32" s="8">
        <f t="shared" ref="J32:M32" si="107">(2/PI()) * ABS((J22 * COS(3*J27))/6 - (J22 * COS(5*J27))/10 - (J21 * SIN(4*J27))/4)</f>
        <v>3.0735950251313714E-2</v>
      </c>
      <c r="K32" s="8">
        <f t="shared" si="107"/>
        <v>9.5472965010240385E-2</v>
      </c>
      <c r="L32" s="8">
        <f t="shared" si="107"/>
        <v>7.2355869482451152E-18</v>
      </c>
      <c r="M32" s="8">
        <f t="shared" si="107"/>
        <v>1.456756435036127E-17</v>
      </c>
      <c r="O32" s="5">
        <v>4</v>
      </c>
      <c r="P32" s="8">
        <f>(2/PI()) * ABS((P22 * COS(3*P27))/6 - (P22 * COS(5*P27))/10 - (P21 * SIN(4*P27))/4)</f>
        <v>0.41597353290167743</v>
      </c>
      <c r="Q32" s="8">
        <f t="shared" ref="Q32:T32" si="108">(2/PI()) * ABS((Q22 * COS(3*Q27))/6 - (Q22 * COS(5*Q27))/10 - (Q21 * SIN(4*Q27))/4)</f>
        <v>4.0340934704849202E-2</v>
      </c>
      <c r="R32" s="8">
        <f t="shared" si="108"/>
        <v>0.12530826657594046</v>
      </c>
      <c r="S32" s="8">
        <f t="shared" si="108"/>
        <v>9.4967078695717151E-18</v>
      </c>
      <c r="T32" s="8">
        <f t="shared" si="108"/>
        <v>1.9119928209849174E-17</v>
      </c>
      <c r="V32" s="5" t="s">
        <v>30</v>
      </c>
      <c r="W32" s="8">
        <f>(2/PI()) * ABS((W22 * COS(3*W27))/6 - (W22 * COS(5*W27))/10 - (W21 * SIN(4*W27))/4)</f>
        <v>0.46434254835536082</v>
      </c>
      <c r="X32" s="8">
        <f t="shared" ref="X32:AA32" si="109">(2/PI()) * ABS((X22 * COS(3*X27))/6 - (X22 * COS(5*X27))/10 - (X21 * SIN(4*X27))/4)</f>
        <v>4.5031741065878275E-2</v>
      </c>
      <c r="Y32" s="8">
        <f t="shared" si="109"/>
        <v>0.13987899524756151</v>
      </c>
      <c r="Z32" s="8">
        <f t="shared" si="109"/>
        <v>1.0600976226498649E-17</v>
      </c>
      <c r="AA32" s="8">
        <f t="shared" si="109"/>
        <v>2.1343175676110696E-17</v>
      </c>
      <c r="AC32" s="5" t="s">
        <v>30</v>
      </c>
      <c r="AD32" s="8">
        <f>(2/PI()) * ABS((AD22 * COS(3*AD27))/6 - (AD22 * COS(5*AD27))/10 - (AD21 * SIN(4*AD27))/4)</f>
        <v>0.49300566862421025</v>
      </c>
      <c r="AE32" s="8">
        <f t="shared" ref="AE32:AH32" si="110">(2/PI()) * ABS((AE22 * COS(3*AE27))/6 - (AE22 * COS(5*AE27))/10 - (AE21 * SIN(4*AE27))/4)</f>
        <v>4.7811478168710231E-2</v>
      </c>
      <c r="AF32" s="8">
        <f t="shared" si="110"/>
        <v>0.14851350112704045</v>
      </c>
      <c r="AG32" s="8">
        <f t="shared" si="110"/>
        <v>1.1255357475047948E-17</v>
      </c>
      <c r="AH32" s="8">
        <f t="shared" si="110"/>
        <v>2.266065565611754E-17</v>
      </c>
    </row>
    <row r="33" spans="1:34" x14ac:dyDescent="0.45">
      <c r="A33" s="5">
        <v>5</v>
      </c>
      <c r="B33" s="8">
        <f>(2/PI()) * ABS((B22 * SIN(4*B27))/8 - (B22 * SIN(6*B27))/12 - (B21 * COS(5*B27))/5)</f>
        <v>2.7865408409415551E-2</v>
      </c>
      <c r="C33" s="8">
        <f t="shared" ref="C33:F33" si="111">(2/PI()) * ABS((C22 * SIN(4*C27))/8 - (C22 * SIN(6*C27))/12 - (C21 * COS(5*C27))/5)</f>
        <v>0.39906038439345015</v>
      </c>
      <c r="D33" s="8">
        <f t="shared" si="111"/>
        <v>0.19545757185983637</v>
      </c>
      <c r="E33" s="8">
        <f t="shared" si="111"/>
        <v>9.0161795175136863E-17</v>
      </c>
      <c r="F33" s="8">
        <f t="shared" si="111"/>
        <v>6.6744067233476054E-17</v>
      </c>
      <c r="H33" s="5">
        <v>5</v>
      </c>
      <c r="I33" s="8">
        <f>(2/PI()) * ABS((I22 * SIN(4*I27))/8 - (I22 * SIN(6*I27))/12 - (I21 * COS(5*I27))/5)</f>
        <v>4.1134650509137054E-2</v>
      </c>
      <c r="J33" s="8">
        <f t="shared" ref="J33:M33" si="112">(2/PI()) * ABS((J22 * SIN(4*J27))/8 - (J22 * SIN(6*J27))/12 - (J21 * COS(5*J27))/5)</f>
        <v>0.5890891388665217</v>
      </c>
      <c r="K33" s="8">
        <f t="shared" si="112"/>
        <v>0.28853260607880671</v>
      </c>
      <c r="L33" s="8">
        <f t="shared" si="112"/>
        <v>1.3309598335377348E-16</v>
      </c>
      <c r="M33" s="8">
        <f t="shared" si="112"/>
        <v>9.8526956392274184E-17</v>
      </c>
      <c r="O33" s="5">
        <v>5</v>
      </c>
      <c r="P33" s="8">
        <f>(2/PI()) * ABS((P22 * SIN(4*P27))/8 - (P22 * SIN(6*P27))/12 - (P21 * COS(5*P27))/5)</f>
        <v>5.3989228793242618E-2</v>
      </c>
      <c r="Q33" s="8">
        <f t="shared" ref="Q33:T33" si="113">(2/PI()) * ABS((Q22 * SIN(4*Q27))/8 - (Q22 * SIN(6*Q27))/12 - (Q21 * COS(5*Q27))/5)</f>
        <v>0.77317949476230963</v>
      </c>
      <c r="R33" s="8">
        <f t="shared" si="113"/>
        <v>0.3786990454784338</v>
      </c>
      <c r="S33" s="8">
        <f t="shared" si="113"/>
        <v>1.7468847815182764E-16</v>
      </c>
      <c r="T33" s="8">
        <f t="shared" si="113"/>
        <v>1.2931663026485984E-16</v>
      </c>
      <c r="V33" s="5" t="s">
        <v>31</v>
      </c>
      <c r="W33" s="8">
        <f>(2/PI()) * ABS((W22 * SIN(4*W27))/8 - (W22 * SIN(6*W27))/12 - (W21 * COS(5*W27))/5)</f>
        <v>6.0267046094782742E-2</v>
      </c>
      <c r="X33" s="8">
        <f t="shared" ref="X33:AA33" si="114">(2/PI()) * ABS((X22 * SIN(4*X27))/8 - (X22 * SIN(6*X27))/12 - (X21 * COS(5*X27))/5)</f>
        <v>0.86308408717653173</v>
      </c>
      <c r="Y33" s="8">
        <f t="shared" si="114"/>
        <v>0.42273381820848427</v>
      </c>
      <c r="Z33" s="8">
        <f t="shared" si="114"/>
        <v>1.9500109189041229E-16</v>
      </c>
      <c r="AA33" s="8">
        <f t="shared" si="114"/>
        <v>1.44353447737518E-16</v>
      </c>
      <c r="AC33" s="5" t="s">
        <v>31</v>
      </c>
      <c r="AD33" s="8">
        <f>(2/PI()) * ABS((AD22 * SIN(4*AD27))/8 - (AD22 * SIN(6*AD27))/12 - (AD21 * COS(5*AD27))/5)</f>
        <v>6.3987234125324741E-2</v>
      </c>
      <c r="AE33" s="8">
        <f t="shared" ref="AE33:AH33" si="115">(2/PI()) * ABS((AE22 * SIN(4*AE27))/8 - (AE22 * SIN(6*AE27))/12 - (AE21 * COS(5*AE27))/5)</f>
        <v>0.91636088268125593</v>
      </c>
      <c r="AF33" s="8">
        <f t="shared" si="115"/>
        <v>0.44882849834480959</v>
      </c>
      <c r="AG33" s="8">
        <f t="shared" si="115"/>
        <v>2.0703819632809206E-16</v>
      </c>
      <c r="AH33" s="8">
        <f t="shared" si="115"/>
        <v>1.53264154387982E-16</v>
      </c>
    </row>
    <row r="34" spans="1:34" x14ac:dyDescent="0.45">
      <c r="A34" s="5">
        <v>6</v>
      </c>
      <c r="B34" s="8">
        <f>(2/PI()) * ABS((B22 * COS(5*B27))/10 - (B22 * COS(7*B27))/14 - (B21 * SIN(6*B27))/6)</f>
        <v>2.0267148872452272E-2</v>
      </c>
      <c r="C34" s="8">
        <f t="shared" ref="C34:F34" si="116">(2/PI()) * ABS((C22 * COS(5*C27))/10 - (C22 * COS(7*C27))/14 - (C21 * SIN(6*C27))/6)</f>
        <v>6.2677354043340142E-2</v>
      </c>
      <c r="D34" s="8">
        <f t="shared" si="116"/>
        <v>1.8805156678237153E-3</v>
      </c>
      <c r="E34" s="8">
        <f t="shared" si="116"/>
        <v>4.9015266423595852E-18</v>
      </c>
      <c r="F34" s="8">
        <f t="shared" si="116"/>
        <v>9.8683500437931205E-18</v>
      </c>
      <c r="H34" s="5">
        <v>6</v>
      </c>
      <c r="I34" s="8">
        <f>(2/PI()) * ABS((I22 * COS(5*I27))/10 - (I22 * COS(7*I27))/14 - (I21 * SIN(6*I27))/6)</f>
        <v>2.9918172145048529E-2</v>
      </c>
      <c r="J34" s="8">
        <f t="shared" ref="J34:M34" si="117">(2/PI()) * ABS((J22 * COS(5*J27))/10 - (J22 * COS(7*J27))/14 - (J21 * SIN(6*J27))/6)</f>
        <v>9.2523713111597475E-2</v>
      </c>
      <c r="K34" s="8">
        <f t="shared" si="117"/>
        <v>2.7759993191683869E-3</v>
      </c>
      <c r="L34" s="8">
        <f t="shared" si="117"/>
        <v>7.2355869482451152E-18</v>
      </c>
      <c r="M34" s="8">
        <f t="shared" si="117"/>
        <v>1.456756435036127E-17</v>
      </c>
      <c r="O34" s="5">
        <v>6</v>
      </c>
      <c r="P34" s="8">
        <f>(2/PI()) * ABS((P22 * COS(5*P27))/10 - (P22 * COS(7*P27))/14 - (P21 * SIN(6*P27))/6)</f>
        <v>3.9267600940376374E-2</v>
      </c>
      <c r="Q34" s="8">
        <f t="shared" ref="Q34:T34" si="118">(2/PI()) * ABS((Q22 * COS(5*Q27))/10 - (Q22 * COS(7*Q27))/14 - (Q21 * SIN(6*Q27))/6)</f>
        <v>0.12143737345897167</v>
      </c>
      <c r="R34" s="8">
        <f t="shared" si="118"/>
        <v>3.6434991064085501E-3</v>
      </c>
      <c r="S34" s="8">
        <f t="shared" si="118"/>
        <v>9.4967078695717151E-18</v>
      </c>
      <c r="T34" s="8">
        <f t="shared" si="118"/>
        <v>1.9119928209849155E-17</v>
      </c>
      <c r="V34" s="5" t="s">
        <v>32</v>
      </c>
      <c r="W34" s="8">
        <f>(2/PI()) * ABS((W22 * COS(5*W27))/10 - (W22 * COS(7*W27))/14 - (W21 * SIN(6*W27))/6)</f>
        <v>4.3833601049722379E-2</v>
      </c>
      <c r="X34" s="8">
        <f t="shared" ref="X34:AA34" si="119">(2/PI()) * ABS((X22 * COS(5*X27))/10 - (X22 * COS(7*X27))/14 - (X21 * SIN(6*X27))/6)</f>
        <v>0.13555799827978227</v>
      </c>
      <c r="Y34" s="8">
        <f t="shared" si="119"/>
        <v>4.0671617932001233E-3</v>
      </c>
      <c r="Z34" s="8">
        <f t="shared" si="119"/>
        <v>1.0600976226498649E-17</v>
      </c>
      <c r="AA34" s="8">
        <f t="shared" si="119"/>
        <v>2.1343175676110687E-17</v>
      </c>
      <c r="AC34" s="5" t="s">
        <v>32</v>
      </c>
      <c r="AD34" s="8">
        <f>(2/PI()) * ABS((AD22 * COS(5*AD27))/10 - (AD22 * COS(7*AD27))/14 - (AD21 * SIN(6*AD27))/6)</f>
        <v>4.6539378892297853E-2</v>
      </c>
      <c r="AE34" s="8">
        <f t="shared" ref="AE34:AH34" si="120">(2/PI()) * ABS((AE22 * COS(5*AE27))/10 - (AE22 * COS(7*AE27))/14 - (AE21 * SIN(6*AE27))/6)</f>
        <v>0.14392577595137374</v>
      </c>
      <c r="AF34" s="8">
        <f t="shared" si="120"/>
        <v>4.3182211631508632E-3</v>
      </c>
      <c r="AG34" s="8">
        <f t="shared" si="120"/>
        <v>1.1255357475047948E-17</v>
      </c>
      <c r="AH34" s="8">
        <f t="shared" si="120"/>
        <v>2.2660655656117525E-17</v>
      </c>
    </row>
    <row r="35" spans="1:34" x14ac:dyDescent="0.45">
      <c r="A35" s="5">
        <v>7</v>
      </c>
      <c r="B35" s="8">
        <f>(2/PI()) * ABS((B22 * SIN(6*B27))/12 - (B22 * SIN(8*B27))/16 - (B21 * COS(7*B27))/7)</f>
        <v>0.16949750596063889</v>
      </c>
      <c r="C35" s="8">
        <f t="shared" ref="C35:F35" si="121">(2/PI()) * ABS((C22 * SIN(6*C27))/12 - (C22 * SIN(8*C27))/16 - (C21 * COS(7*C27))/7)</f>
        <v>0.34843166513465584</v>
      </c>
      <c r="D35" s="8">
        <f t="shared" si="121"/>
        <v>0.26882920355446582</v>
      </c>
      <c r="E35" s="8">
        <f t="shared" si="121"/>
        <v>9.0161795175136863E-17</v>
      </c>
      <c r="F35" s="8">
        <f t="shared" si="121"/>
        <v>6.6744067233476054E-17</v>
      </c>
      <c r="H35" s="5">
        <v>7</v>
      </c>
      <c r="I35" s="8">
        <f>(2/PI()) * ABS((I22 * SIN(6*I27))/12 - (I22 * SIN(8*I27))/16 - (I21 * COS(7*I27))/7)</f>
        <v>0.25021060403713336</v>
      </c>
      <c r="J35" s="8">
        <f t="shared" ref="J35:M35" si="122">(2/PI()) * ABS((J22 * SIN(6*J27))/12 - (J22 * SIN(8*J27))/16 - (J21 * COS(7*J27))/7)</f>
        <v>0.51435150567496835</v>
      </c>
      <c r="K35" s="8">
        <f t="shared" si="122"/>
        <v>0.39684311000897288</v>
      </c>
      <c r="L35" s="8">
        <f t="shared" si="122"/>
        <v>1.3309598335377348E-16</v>
      </c>
      <c r="M35" s="8">
        <f t="shared" si="122"/>
        <v>9.8526956392274184E-17</v>
      </c>
      <c r="O35" s="5">
        <v>7</v>
      </c>
      <c r="P35" s="8">
        <f>(2/PI()) * ABS((P22 * SIN(6*P27))/12 - (P22 * SIN(8*P27))/16 - (P21 * COS(7*P27))/7)</f>
        <v>0.32840141779873816</v>
      </c>
      <c r="Q35" s="8">
        <f t="shared" ref="Q35:T35" si="123">(2/PI()) * ABS((Q22 * SIN(6*Q27))/12 - (Q22 * SIN(8*Q27))/16 - (Q21 * COS(7*Q27))/7)</f>
        <v>0.67508635119839588</v>
      </c>
      <c r="R35" s="8">
        <f t="shared" si="123"/>
        <v>0.52085658188677686</v>
      </c>
      <c r="S35" s="8">
        <f t="shared" si="123"/>
        <v>1.7468847815182764E-16</v>
      </c>
      <c r="T35" s="8">
        <f t="shared" si="123"/>
        <v>1.2931663026485984E-16</v>
      </c>
      <c r="V35" s="5" t="s">
        <v>33</v>
      </c>
      <c r="W35" s="8">
        <f>(2/PI()) * ABS((W22 * SIN(6*W27))/12 - (W22 * SIN(8*W27))/16 - (W21 * COS(7*W27))/7)</f>
        <v>0.36658762917068438</v>
      </c>
      <c r="X35" s="8">
        <f t="shared" ref="X35:AA35" si="124">(2/PI()) * ABS((X22 * SIN(6*X27))/12 - (X22 * SIN(8*X27))/16 - (X21 * COS(7*X27))/7)</f>
        <v>0.75358476412844178</v>
      </c>
      <c r="Y35" s="8">
        <f t="shared" si="124"/>
        <v>0.58142130071082077</v>
      </c>
      <c r="Z35" s="8">
        <f t="shared" si="124"/>
        <v>1.9500109189041229E-16</v>
      </c>
      <c r="AA35" s="8">
        <f t="shared" si="124"/>
        <v>1.44353447737518E-16</v>
      </c>
      <c r="AC35" s="5" t="s">
        <v>33</v>
      </c>
      <c r="AD35" s="8">
        <f>(2/PI()) * ABS((AD22 * SIN(6*AD27))/12 - (AD22 * SIN(8*AD27))/16 - (AD21 * COS(7*AD27))/7)</f>
        <v>0.38921649516887469</v>
      </c>
      <c r="AE35" s="8">
        <f t="shared" ref="AE35:AH35" si="125">(2/PI()) * ABS((AE22 * SIN(6*AE27))/12 - (AE22 * SIN(8*AE27))/16 - (AE21 * COS(7*AE27))/7)</f>
        <v>0.80010234216106157</v>
      </c>
      <c r="AF35" s="8">
        <f t="shared" si="125"/>
        <v>0.61731150445840266</v>
      </c>
      <c r="AG35" s="8">
        <f t="shared" si="125"/>
        <v>2.0703819632809206E-16</v>
      </c>
      <c r="AH35" s="8">
        <f t="shared" si="125"/>
        <v>1.53264154387982E-16</v>
      </c>
    </row>
    <row r="36" spans="1:34" x14ac:dyDescent="0.45">
      <c r="A36" s="5">
        <v>8</v>
      </c>
      <c r="B36" s="8">
        <f>(2/PI()) * ABS((B22 * COS(7*B27))/14 - (B22 * COS(9*B27))/18 - (B21 * SIN(8*B27))/8)</f>
        <v>3.0618820677759621E-2</v>
      </c>
      <c r="C36" s="8">
        <f t="shared" ref="C36:F36" si="126">(2/PI()) * ABS((C22 * COS(7*C27))/14 - (C22 * COS(9*C27))/18 - (C21 * SIN(8*C27))/8)</f>
        <v>3.5921730693134014E-2</v>
      </c>
      <c r="D36" s="8">
        <f t="shared" si="126"/>
        <v>1.4784366003318051E-2</v>
      </c>
      <c r="E36" s="8">
        <f t="shared" si="126"/>
        <v>4.9015266423595852E-18</v>
      </c>
      <c r="F36" s="8">
        <f t="shared" si="126"/>
        <v>9.8683500437931235E-18</v>
      </c>
      <c r="H36" s="5">
        <v>8</v>
      </c>
      <c r="I36" s="8">
        <f>(2/PI()) * ABS((I22 * COS(7*I27))/14 - (I22 * COS(9*I27))/18 - (I21 * SIN(8*I27))/8)</f>
        <v>4.5199211476692716E-2</v>
      </c>
      <c r="J36" s="8">
        <f t="shared" ref="J36:M36" si="127">(2/PI()) * ABS((J22 * COS(7*J27))/14 - (J22 * COS(9*J27))/18 - (J21 * SIN(8*J27))/8)</f>
        <v>5.3027316737483537E-2</v>
      </c>
      <c r="K36" s="8">
        <f t="shared" si="127"/>
        <v>2.1824540290612413E-2</v>
      </c>
      <c r="L36" s="8">
        <f t="shared" si="127"/>
        <v>7.2355869482451075E-18</v>
      </c>
      <c r="M36" s="8">
        <f t="shared" si="127"/>
        <v>1.456756435036127E-17</v>
      </c>
      <c r="O36" s="5">
        <v>8</v>
      </c>
      <c r="P36" s="8">
        <f>(2/PI()) * ABS((P22 * COS(7*P27))/14 - (P22 * COS(9*P27))/18 - (P21 * SIN(8*P27))/8)</f>
        <v>5.9323965063159338E-2</v>
      </c>
      <c r="Q36" s="8">
        <f t="shared" ref="Q36:T36" si="128">(2/PI()) * ABS((Q22 * COS(7*Q27))/14 - (Q22 * COS(9*Q27))/18 - (Q21 * SIN(8*Q27))/8)</f>
        <v>6.9598353217947134E-2</v>
      </c>
      <c r="R36" s="8">
        <f t="shared" si="128"/>
        <v>2.8644709131428778E-2</v>
      </c>
      <c r="S36" s="8">
        <f t="shared" si="128"/>
        <v>9.4967078695717151E-18</v>
      </c>
      <c r="T36" s="8">
        <f t="shared" si="128"/>
        <v>1.9119928209849174E-17</v>
      </c>
      <c r="V36" s="5" t="s">
        <v>34</v>
      </c>
      <c r="W36" s="8">
        <f>(2/PI()) * ABS((W22 * COS(7*W27))/14 - (W22 * COS(9*W27))/18 - (W21 * SIN(8*W27))/8)</f>
        <v>6.6222100535619818E-2</v>
      </c>
      <c r="X36" s="8">
        <f t="shared" ref="X36:AA36" si="129">(2/PI()) * ABS((X22 * COS(7*X27))/14 - (X22 * COS(9*X27))/18 - (X21 * SIN(8*X27))/8)</f>
        <v>7.7691184987475861E-2</v>
      </c>
      <c r="Y36" s="8">
        <f t="shared" si="129"/>
        <v>3.1975489262990299E-2</v>
      </c>
      <c r="Z36" s="8">
        <f t="shared" si="129"/>
        <v>1.0600976226498649E-17</v>
      </c>
      <c r="AA36" s="8">
        <f t="shared" si="129"/>
        <v>2.1343175676110696E-17</v>
      </c>
      <c r="AC36" s="5" t="s">
        <v>34</v>
      </c>
      <c r="AD36" s="8">
        <f>(2/PI()) * ABS((AD22 * COS(7*AD27))/14 - (AD22 * COS(9*AD27))/18 - (AD21 * SIN(8*AD27))/8)</f>
        <v>7.0309884519300037E-2</v>
      </c>
      <c r="AE36" s="8">
        <f t="shared" ref="AE36:AH36" si="130">(2/PI()) * ABS((AE22 * COS(7*AE27))/14 - (AE22 * COS(9*AE27))/18 - (AE21 * SIN(8*AE27))/8)</f>
        <v>8.2486937147196598E-2</v>
      </c>
      <c r="AF36" s="8">
        <f t="shared" si="130"/>
        <v>3.3949284896508093E-2</v>
      </c>
      <c r="AG36" s="8">
        <f t="shared" si="130"/>
        <v>1.1255357475047948E-17</v>
      </c>
      <c r="AH36" s="8">
        <f t="shared" si="130"/>
        <v>2.266065565611754E-17</v>
      </c>
    </row>
    <row r="37" spans="1:34" x14ac:dyDescent="0.45">
      <c r="A37" s="5" t="s">
        <v>35</v>
      </c>
      <c r="B37" s="8">
        <f>(SQRT(B30^2 + B31^2 + B32^2 + B33^2 + B34^2 + B35^2 + B36^2) / B29)*100</f>
        <v>30.337774738614293</v>
      </c>
      <c r="C37" s="8">
        <f t="shared" ref="C37:F37" si="131">(SQRT(C30^2 + C31^2 + C32^2 + C33^2) / C29)*100</f>
        <v>23.587234808210177</v>
      </c>
      <c r="D37" s="8">
        <f t="shared" si="131"/>
        <v>34.344408571595494</v>
      </c>
      <c r="E37" s="8">
        <f t="shared" si="131"/>
        <v>1.1681550855000721E-14</v>
      </c>
      <c r="F37" s="8">
        <f t="shared" si="131"/>
        <v>1.3084751061796023E-14</v>
      </c>
      <c r="H37" s="5" t="s">
        <v>35</v>
      </c>
      <c r="I37" s="8">
        <f>(SQRT(I30^2 + I31^2 + I32^2 + I33^2 + I34^2 + I35^2 + I36^2) / I29)*100</f>
        <v>30.337774738614286</v>
      </c>
      <c r="J37" s="8">
        <f t="shared" ref="J37:M37" si="132">(SQRT(J30^2 + J31^2 + J32^2 + J33^2 + J34^2 + J35^2 + J36^2) / J29)*100</f>
        <v>25.870442914356197</v>
      </c>
      <c r="K37" s="8">
        <f t="shared" si="132"/>
        <v>36.860595221244672</v>
      </c>
      <c r="L37" s="8">
        <f t="shared" si="132"/>
        <v>1.4313944143043158E-14</v>
      </c>
      <c r="M37" s="8">
        <f t="shared" si="132"/>
        <v>1.6082519157988222E-14</v>
      </c>
      <c r="O37" s="5" t="s">
        <v>35</v>
      </c>
      <c r="P37" s="8">
        <f>(SQRT(P30^2 + P31^2 + P32^2 + P33^2 + P34^2 + P35^2 + P36^2) / P29)*100</f>
        <v>30.337774738614293</v>
      </c>
      <c r="Q37" s="8">
        <f t="shared" ref="Q37:T37" si="133">(SQRT(Q30^2 + Q31^2 + Q32^2 + Q33^2 + Q34^2 + Q35^2 + Q36^2) / Q29)*100</f>
        <v>25.870442914356182</v>
      </c>
      <c r="R37" s="8">
        <f t="shared" si="133"/>
        <v>36.860595221244672</v>
      </c>
      <c r="S37" s="8">
        <f t="shared" si="133"/>
        <v>1.4313944143043158E-14</v>
      </c>
      <c r="T37" s="8">
        <f t="shared" si="133"/>
        <v>1.6082519157988216E-14</v>
      </c>
      <c r="V37" s="5" t="s">
        <v>35</v>
      </c>
      <c r="W37" s="8">
        <f>(SQRT(W30^2 + W31^2 + W32^2 + W33^2 + W34^2 + W35^2 + W36^2) / W29)*100</f>
        <v>30.337774738614286</v>
      </c>
      <c r="X37" s="8">
        <f t="shared" ref="X37:AA37" si="134">(SQRT(X30^2 + X31^2 + X32^2 + X33^2 + X34^2 + X35^2 + X36^2) / X29)*100</f>
        <v>25.87044291435619</v>
      </c>
      <c r="Y37" s="8">
        <f t="shared" si="134"/>
        <v>36.860595221244665</v>
      </c>
      <c r="Z37" s="8">
        <f t="shared" si="134"/>
        <v>1.4313944143043158E-14</v>
      </c>
      <c r="AA37" s="8">
        <f t="shared" si="134"/>
        <v>1.6082519157988222E-14</v>
      </c>
      <c r="AC37" s="5" t="s">
        <v>35</v>
      </c>
      <c r="AD37" s="8">
        <f>(SQRT(AD30^2 + AD31^2 + AD32^2 + AD33^2 + AD34^2 + AD35^2 + AD36^2) / AD29)*100</f>
        <v>30.337774738614286</v>
      </c>
      <c r="AE37" s="8">
        <f t="shared" ref="AE37:AH37" si="135">(SQRT(AE30^2 + AE31^2 + AE32^2 + AE33^2 + AE34^2 + AE35^2 + AE36^2) / AE29)*100</f>
        <v>25.87044291435619</v>
      </c>
      <c r="AF37" s="8">
        <f t="shared" si="135"/>
        <v>36.860595221244687</v>
      </c>
      <c r="AG37" s="8">
        <f t="shared" si="135"/>
        <v>1.4313944143043158E-14</v>
      </c>
      <c r="AH37" s="8">
        <f t="shared" si="135"/>
        <v>1.6082519157988222E-14</v>
      </c>
    </row>
  </sheetData>
  <mergeCells count="5">
    <mergeCell ref="A12:F12"/>
    <mergeCell ref="H12:M12"/>
    <mergeCell ref="O12:T12"/>
    <mergeCell ref="V12:AA12"/>
    <mergeCell ref="AC12:AH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Majer</dc:creator>
  <cp:lastModifiedBy>Nikola Majer</cp:lastModifiedBy>
  <dcterms:created xsi:type="dcterms:W3CDTF">2026-05-24T17:34:11Z</dcterms:created>
  <dcterms:modified xsi:type="dcterms:W3CDTF">2026-05-29T15:30:00Z</dcterms:modified>
</cp:coreProperties>
</file>