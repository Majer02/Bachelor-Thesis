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23341e057c2d1b5/Documents/2526 - LJETNI SEMESTAR/Bachelor-Thesis/EXCEL FILEOVI/"/>
    </mc:Choice>
  </mc:AlternateContent>
  <xr:revisionPtr revIDLastSave="61" documentId="8_{2396A90B-B910-459B-ACE8-58213C55B081}" xr6:coauthVersionLast="47" xr6:coauthVersionMax="47" xr10:uidLastSave="{99A5289F-5341-4DCC-97AA-7B1043F44F7F}"/>
  <bookViews>
    <workbookView xWindow="-98" yWindow="-98" windowWidth="21795" windowHeight="12975" xr2:uid="{B4FD3550-17E7-4D46-90CC-DFB7D5127C8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4" i="1" l="1"/>
  <c r="E13" i="1"/>
  <c r="B22" i="1"/>
  <c r="B21" i="1"/>
  <c r="B20" i="1"/>
  <c r="B19" i="1"/>
  <c r="B15" i="1"/>
  <c r="B16" i="1" s="1"/>
  <c r="B17" i="1" s="1"/>
  <c r="B18" i="1"/>
</calcChain>
</file>

<file path=xl/sharedStrings.xml><?xml version="1.0" encoding="utf-8"?>
<sst xmlns="http://schemas.openxmlformats.org/spreadsheetml/2006/main" count="20" uniqueCount="20">
  <si>
    <t>Ucc</t>
  </si>
  <si>
    <t>Ubeq</t>
  </si>
  <si>
    <t>Uul</t>
  </si>
  <si>
    <t>Ibq</t>
  </si>
  <si>
    <t>Rbb</t>
  </si>
  <si>
    <t>Icq</t>
  </si>
  <si>
    <t>Uceq</t>
  </si>
  <si>
    <t>hfe</t>
  </si>
  <si>
    <t>Av</t>
  </si>
  <si>
    <t>Rac</t>
  </si>
  <si>
    <t>Vclip</t>
  </si>
  <si>
    <t>Vmax</t>
  </si>
  <si>
    <t>Re</t>
  </si>
  <si>
    <t>Rt</t>
  </si>
  <si>
    <t>Rc</t>
  </si>
  <si>
    <t>hie</t>
  </si>
  <si>
    <t>Umt</t>
  </si>
  <si>
    <t>theta 1</t>
  </si>
  <si>
    <t>theta 2</t>
  </si>
  <si>
    <t>Bn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</si>
</sst>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37755-7B05-4086-B92B-A6987546BB78}">
  <dimension ref="A1:E22"/>
  <sheetViews>
    <sheetView tabSelected="1" workbookViewId="0">
      <selection activeCell="M10" sqref="M10"/>
    </sheetView>
  </sheetViews>
  <sheetFormatPr defaultRowHeight="14.25" x14ac:dyDescent="0.45"/>
  <sheetData>
    <row r="1" spans="1:5" x14ac:dyDescent="0.45">
      <c r="A1" t="s">
        <v>0</v>
      </c>
      <c r="B1">
        <v>15</v>
      </c>
    </row>
    <row r="2" spans="1:5" x14ac:dyDescent="0.45">
      <c r="A2" t="s">
        <v>1</v>
      </c>
      <c r="B2">
        <v>0.7</v>
      </c>
    </row>
    <row r="3" spans="1:5" x14ac:dyDescent="0.45">
      <c r="A3" t="s">
        <v>2</v>
      </c>
      <c r="B3">
        <v>6.2</v>
      </c>
    </row>
    <row r="4" spans="1:5" x14ac:dyDescent="0.45">
      <c r="A4" t="s">
        <v>16</v>
      </c>
      <c r="B4">
        <v>2.5000000000000001E-2</v>
      </c>
    </row>
    <row r="5" spans="1:5" x14ac:dyDescent="0.45">
      <c r="A5" t="s">
        <v>4</v>
      </c>
      <c r="B5">
        <v>820000</v>
      </c>
    </row>
    <row r="6" spans="1:5" x14ac:dyDescent="0.45">
      <c r="A6" t="s">
        <v>14</v>
      </c>
      <c r="B6">
        <v>1000</v>
      </c>
    </row>
    <row r="7" spans="1:5" x14ac:dyDescent="0.45">
      <c r="A7" t="s">
        <v>7</v>
      </c>
      <c r="B7">
        <v>380</v>
      </c>
    </row>
    <row r="13" spans="1:5" x14ac:dyDescent="0.45">
      <c r="A13" t="s">
        <v>12</v>
      </c>
      <c r="B13">
        <v>250</v>
      </c>
      <c r="D13" t="s">
        <v>17</v>
      </c>
      <c r="E13">
        <f>PI()/4</f>
        <v>0.78539816339744828</v>
      </c>
    </row>
    <row r="14" spans="1:5" x14ac:dyDescent="0.45">
      <c r="A14" t="s">
        <v>13</v>
      </c>
      <c r="B14">
        <v>2200</v>
      </c>
      <c r="D14" t="s">
        <v>18</v>
      </c>
      <c r="E14">
        <f>3*PI()/4</f>
        <v>2.3561944901923448</v>
      </c>
    </row>
    <row r="15" spans="1:5" x14ac:dyDescent="0.45">
      <c r="A15" t="s">
        <v>3</v>
      </c>
      <c r="B15">
        <f>(B1 - B2)/(B5 - (1 + B7)* B13)</f>
        <v>1.9730941704035876E-5</v>
      </c>
      <c r="D15" t="s">
        <v>19</v>
      </c>
    </row>
    <row r="16" spans="1:5" x14ac:dyDescent="0.45">
      <c r="A16" t="s">
        <v>5</v>
      </c>
      <c r="B16">
        <f>B7*B15</f>
        <v>7.4977578475336325E-3</v>
      </c>
    </row>
    <row r="17" spans="1:2" x14ac:dyDescent="0.45">
      <c r="A17" t="s">
        <v>6</v>
      </c>
      <c r="B17">
        <f>B1 - (B6 + B13)*B16</f>
        <v>5.6278026905829588</v>
      </c>
    </row>
    <row r="18" spans="1:2" x14ac:dyDescent="0.45">
      <c r="A18" t="s">
        <v>9</v>
      </c>
      <c r="B18">
        <f>(B6*B14)/(B6+B14)</f>
        <v>687.5</v>
      </c>
    </row>
    <row r="19" spans="1:2" x14ac:dyDescent="0.45">
      <c r="A19" t="s">
        <v>15</v>
      </c>
      <c r="B19">
        <f>B4/B15</f>
        <v>1267.0454545454545</v>
      </c>
    </row>
    <row r="20" spans="1:2" x14ac:dyDescent="0.45">
      <c r="A20" t="s">
        <v>8</v>
      </c>
      <c r="B20">
        <f>-B7*(B18/(B19 + (1 + B7)*B13))</f>
        <v>-2.7067757697062458</v>
      </c>
    </row>
    <row r="21" spans="1:2" x14ac:dyDescent="0.45">
      <c r="A21" t="s">
        <v>10</v>
      </c>
      <c r="B21">
        <f>B16*B18</f>
        <v>5.1547085201793728</v>
      </c>
    </row>
    <row r="22" spans="1:2" x14ac:dyDescent="0.45">
      <c r="A22" t="s">
        <v>11</v>
      </c>
      <c r="B22">
        <f>ABS(B20)*B3</f>
        <v>16.782009772178725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 Majer</dc:creator>
  <cp:lastModifiedBy>Nikola Majer</cp:lastModifiedBy>
  <dcterms:created xsi:type="dcterms:W3CDTF">2026-05-24T17:34:11Z</dcterms:created>
  <dcterms:modified xsi:type="dcterms:W3CDTF">2026-05-24T18:07:06Z</dcterms:modified>
</cp:coreProperties>
</file>