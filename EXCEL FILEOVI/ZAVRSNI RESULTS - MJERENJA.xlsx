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3341e057c2d1b5/Documents/2526 - LJETNI SEMESTAR/Bachelor-Thesis/EXCEL FILEOVI/"/>
    </mc:Choice>
  </mc:AlternateContent>
  <xr:revisionPtr revIDLastSave="355" documentId="8_{A8C83972-76C5-4A6B-842F-923ACDC1EACE}" xr6:coauthVersionLast="47" xr6:coauthVersionMax="47" xr10:uidLastSave="{BEC0EC14-787A-44D4-9F1A-8DD503277DB5}"/>
  <bookViews>
    <workbookView xWindow="8370" yWindow="-16320" windowWidth="29040" windowHeight="15720" activeTab="1" xr2:uid="{84FF4933-D298-41E7-88E7-BD26EEEC429A}"/>
  </bookViews>
  <sheets>
    <sheet name="SZC" sheetId="1" r:id="rId1"/>
    <sheet name="B" sheetId="2" r:id="rId2"/>
    <sheet name="A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5" i="3" l="1"/>
  <c r="M10" i="3"/>
  <c r="N10" i="3" s="1"/>
  <c r="M9" i="3"/>
  <c r="N9" i="3" s="1"/>
  <c r="M8" i="3"/>
  <c r="N8" i="3" s="1"/>
  <c r="M7" i="3"/>
  <c r="N7" i="3" s="1"/>
  <c r="M6" i="3"/>
  <c r="N6" i="3" s="1"/>
  <c r="M5" i="3"/>
  <c r="N5" i="3" s="1"/>
  <c r="M4" i="3"/>
  <c r="N4" i="3" s="1"/>
  <c r="M3" i="3"/>
  <c r="N3" i="3" s="1"/>
  <c r="G15" i="3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H4" i="3"/>
  <c r="I4" i="3" s="1"/>
  <c r="H3" i="3"/>
  <c r="I3" i="3" s="1"/>
  <c r="B15" i="3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L15" i="2"/>
  <c r="M10" i="2"/>
  <c r="N10" i="2" s="1"/>
  <c r="M9" i="2"/>
  <c r="N9" i="2" s="1"/>
  <c r="M8" i="2"/>
  <c r="N8" i="2" s="1"/>
  <c r="M7" i="2"/>
  <c r="N7" i="2" s="1"/>
  <c r="M6" i="2"/>
  <c r="N6" i="2" s="1"/>
  <c r="M5" i="2"/>
  <c r="N5" i="2" s="1"/>
  <c r="M4" i="2"/>
  <c r="N4" i="2" s="1"/>
  <c r="M3" i="2"/>
  <c r="N3" i="2" s="1"/>
  <c r="G15" i="2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B15" i="2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V13" i="1"/>
  <c r="Q13" i="1"/>
  <c r="Q15" i="1" s="1"/>
  <c r="G13" i="1"/>
  <c r="L13" i="1"/>
  <c r="G15" i="1"/>
  <c r="B13" i="1"/>
  <c r="B15" i="1"/>
  <c r="V15" i="1"/>
  <c r="W10" i="1"/>
  <c r="X10" i="1" s="1"/>
  <c r="W9" i="1"/>
  <c r="X9" i="1" s="1"/>
  <c r="W8" i="1"/>
  <c r="X8" i="1" s="1"/>
  <c r="W7" i="1"/>
  <c r="X7" i="1" s="1"/>
  <c r="W6" i="1"/>
  <c r="X6" i="1" s="1"/>
  <c r="W5" i="1"/>
  <c r="X5" i="1" s="1"/>
  <c r="W4" i="1"/>
  <c r="X4" i="1" s="1"/>
  <c r="W3" i="1"/>
  <c r="X3" i="1" s="1"/>
  <c r="S10" i="1"/>
  <c r="R10" i="1"/>
  <c r="R9" i="1"/>
  <c r="S9" i="1" s="1"/>
  <c r="R8" i="1"/>
  <c r="S8" i="1" s="1"/>
  <c r="R7" i="1"/>
  <c r="S7" i="1" s="1"/>
  <c r="R6" i="1"/>
  <c r="S6" i="1" s="1"/>
  <c r="R5" i="1"/>
  <c r="S5" i="1" s="1"/>
  <c r="R4" i="1"/>
  <c r="S4" i="1" s="1"/>
  <c r="R3" i="1"/>
  <c r="S3" i="1" s="1"/>
  <c r="L15" i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M3" i="1"/>
  <c r="N3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C3" i="1"/>
  <c r="D3" i="1" s="1"/>
  <c r="L11" i="3" l="1"/>
  <c r="L12" i="3" s="1"/>
  <c r="G11" i="3"/>
  <c r="G12" i="3" s="1"/>
  <c r="B11" i="3"/>
  <c r="B12" i="3" s="1"/>
  <c r="L11" i="2"/>
  <c r="L12" i="2" s="1"/>
  <c r="G11" i="2"/>
  <c r="G12" i="2" s="1"/>
  <c r="B11" i="2"/>
  <c r="B12" i="2" s="1"/>
  <c r="B11" i="1"/>
  <c r="B12" i="1" s="1"/>
  <c r="V11" i="1"/>
  <c r="V12" i="1" s="1"/>
  <c r="Q11" i="1"/>
  <c r="Q12" i="1" s="1"/>
  <c r="L11" i="1"/>
  <c r="L12" i="1" s="1"/>
  <c r="G11" i="1"/>
  <c r="G12" i="1" s="1"/>
</calcChain>
</file>

<file path=xl/sharedStrings.xml><?xml version="1.0" encoding="utf-8"?>
<sst xmlns="http://schemas.openxmlformats.org/spreadsheetml/2006/main" count="110" uniqueCount="18">
  <si>
    <t>Rt = 250</t>
  </si>
  <si>
    <t>Harmonik</t>
  </si>
  <si>
    <t>HD [dB]</t>
  </si>
  <si>
    <t>HD [V]</t>
  </si>
  <si>
    <t>HD value</t>
  </si>
  <si>
    <t>THD</t>
  </si>
  <si>
    <t>THD [%]</t>
  </si>
  <si>
    <t>Piz</t>
  </si>
  <si>
    <t>Pcc</t>
  </si>
  <si>
    <t>korisnost [%]</t>
  </si>
  <si>
    <t>Rt = 500</t>
  </si>
  <si>
    <t>Rt = 1000</t>
  </si>
  <si>
    <t>Rt = 1500</t>
  </si>
  <si>
    <t>Rt = 2000</t>
  </si>
  <si>
    <t>Uul = 0.8V</t>
  </si>
  <si>
    <t>Uul = 5 V</t>
  </si>
  <si>
    <t>Uul = 16 V</t>
  </si>
  <si>
    <t>Uul = 0.8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</si>
</sst>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30D5-1B7A-4E27-921C-793C2F15A411}">
  <dimension ref="A1:X16"/>
  <sheetViews>
    <sheetView topLeftCell="O1" zoomScale="190" zoomScaleNormal="190" workbookViewId="0">
      <selection activeCell="V3" sqref="V3:X15"/>
    </sheetView>
  </sheetViews>
  <sheetFormatPr defaultRowHeight="14.25" x14ac:dyDescent="0.45"/>
  <cols>
    <col min="1" max="1" width="11.3984375" bestFit="1" customWidth="1"/>
    <col min="2" max="2" width="12.19921875" bestFit="1" customWidth="1"/>
    <col min="3" max="3" width="6.46484375" bestFit="1" customWidth="1"/>
    <col min="4" max="4" width="7.9296875" bestFit="1" customWidth="1"/>
    <col min="6" max="6" width="11.3984375" bestFit="1" customWidth="1"/>
    <col min="7" max="7" width="10.06640625" bestFit="1" customWidth="1"/>
    <col min="8" max="8" width="6.46484375" bestFit="1" customWidth="1"/>
    <col min="9" max="9" width="7.9296875" bestFit="1" customWidth="1"/>
    <col min="11" max="11" width="11.3984375" bestFit="1" customWidth="1"/>
    <col min="12" max="12" width="12.19921875" bestFit="1" customWidth="1"/>
    <col min="13" max="13" width="6.46484375" bestFit="1" customWidth="1"/>
    <col min="14" max="14" width="7.9296875" bestFit="1" customWidth="1"/>
    <col min="16" max="16" width="11.3984375" bestFit="1" customWidth="1"/>
    <col min="17" max="17" width="11.1328125" bestFit="1" customWidth="1"/>
    <col min="18" max="18" width="6.46484375" bestFit="1" customWidth="1"/>
    <col min="19" max="19" width="7.9296875" bestFit="1" customWidth="1"/>
    <col min="21" max="21" width="11.3984375" bestFit="1" customWidth="1"/>
    <col min="22" max="22" width="11.1328125" bestFit="1" customWidth="1"/>
    <col min="23" max="23" width="6.46484375" bestFit="1" customWidth="1"/>
    <col min="24" max="24" width="7.9296875" bestFit="1" customWidth="1"/>
    <col min="26" max="26" width="11.1328125" bestFit="1" customWidth="1"/>
    <col min="27" max="27" width="11.73046875" bestFit="1" customWidth="1"/>
    <col min="28" max="28" width="6.265625" bestFit="1" customWidth="1"/>
    <col min="29" max="29" width="7.6640625" bestFit="1" customWidth="1"/>
  </cols>
  <sheetData>
    <row r="1" spans="1:24" x14ac:dyDescent="0.45">
      <c r="A1" s="3" t="s">
        <v>0</v>
      </c>
      <c r="B1" s="3"/>
      <c r="C1" s="3"/>
      <c r="D1" s="3"/>
      <c r="F1" s="3" t="s">
        <v>10</v>
      </c>
      <c r="G1" s="3"/>
      <c r="H1" s="3"/>
      <c r="I1" s="3"/>
      <c r="K1" s="3" t="s">
        <v>11</v>
      </c>
      <c r="L1" s="3"/>
      <c r="M1" s="3"/>
      <c r="N1" s="3"/>
      <c r="P1" s="3" t="s">
        <v>12</v>
      </c>
      <c r="Q1" s="3"/>
      <c r="R1" s="3"/>
      <c r="S1" s="3"/>
      <c r="U1" s="3" t="s">
        <v>13</v>
      </c>
      <c r="V1" s="3"/>
      <c r="W1" s="3"/>
      <c r="X1" s="3"/>
    </row>
    <row r="2" spans="1:24" x14ac:dyDescent="0.45">
      <c r="A2" s="1" t="s">
        <v>1</v>
      </c>
      <c r="B2" s="1" t="s">
        <v>2</v>
      </c>
      <c r="C2" s="1" t="s">
        <v>3</v>
      </c>
      <c r="D2" s="1" t="s">
        <v>4</v>
      </c>
      <c r="F2" s="1" t="s">
        <v>1</v>
      </c>
      <c r="G2" s="1" t="s">
        <v>2</v>
      </c>
      <c r="H2" s="1" t="s">
        <v>3</v>
      </c>
      <c r="I2" s="1" t="s">
        <v>4</v>
      </c>
      <c r="K2" s="1" t="s">
        <v>1</v>
      </c>
      <c r="L2" s="1" t="s">
        <v>2</v>
      </c>
      <c r="M2" s="1" t="s">
        <v>3</v>
      </c>
      <c r="N2" s="1" t="s">
        <v>4</v>
      </c>
      <c r="P2" s="1" t="s">
        <v>1</v>
      </c>
      <c r="Q2" s="1" t="s">
        <v>2</v>
      </c>
      <c r="R2" s="1" t="s">
        <v>3</v>
      </c>
      <c r="S2" s="1" t="s">
        <v>4</v>
      </c>
      <c r="U2" s="1" t="s">
        <v>1</v>
      </c>
      <c r="V2" s="1" t="s">
        <v>2</v>
      </c>
      <c r="W2" s="1" t="s">
        <v>3</v>
      </c>
      <c r="X2" s="1" t="s">
        <v>4</v>
      </c>
    </row>
    <row r="3" spans="1:24" x14ac:dyDescent="0.45">
      <c r="A3" s="1">
        <v>1</v>
      </c>
      <c r="B3" s="4">
        <v>4.0629999999999997</v>
      </c>
      <c r="C3" s="4">
        <f>10^(B3/20)</f>
        <v>1.5964304395662618</v>
      </c>
      <c r="D3" s="4">
        <f>C3^2</f>
        <v>2.5485901483737279</v>
      </c>
      <c r="F3" s="1">
        <v>1</v>
      </c>
      <c r="G3" s="4">
        <v>7.0910000000000002</v>
      </c>
      <c r="H3" s="4">
        <f>10^(G3/20)</f>
        <v>2.2622989815726413</v>
      </c>
      <c r="I3" s="4">
        <f>H3^2</f>
        <v>5.1179966820246099</v>
      </c>
      <c r="K3" s="1">
        <v>1</v>
      </c>
      <c r="L3" s="4">
        <v>9.6829999999999998</v>
      </c>
      <c r="M3" s="4">
        <f>10^(L3/20)</f>
        <v>3.0489478770799572</v>
      </c>
      <c r="N3" s="4">
        <f>M3^2</f>
        <v>9.2960831571503775</v>
      </c>
      <c r="P3" s="1">
        <v>1</v>
      </c>
      <c r="Q3" s="4">
        <v>10.382999999999999</v>
      </c>
      <c r="R3" s="4">
        <f>10^(Q3/20)</f>
        <v>3.3048366634147781</v>
      </c>
      <c r="S3" s="4">
        <f>R3^2</f>
        <v>10.921945371850523</v>
      </c>
      <c r="U3" s="1">
        <v>1</v>
      </c>
      <c r="V3" s="4">
        <v>10.859</v>
      </c>
      <c r="W3" s="4">
        <f>10^(V3/20)</f>
        <v>3.491001215280912</v>
      </c>
      <c r="X3" s="4">
        <f>W3^2</f>
        <v>12.187089485092805</v>
      </c>
    </row>
    <row r="4" spans="1:24" x14ac:dyDescent="0.45">
      <c r="A4" s="1">
        <v>2</v>
      </c>
      <c r="B4" s="4">
        <v>-1.0629999999999999</v>
      </c>
      <c r="C4" s="4">
        <f t="shared" ref="C4:C10" si="0">10^(B4/20)</f>
        <v>0.88480995451736077</v>
      </c>
      <c r="D4" s="4">
        <f t="shared" ref="D4:D10" si="1">C4^2</f>
        <v>0.78288865561301402</v>
      </c>
      <c r="F4" s="1">
        <v>2</v>
      </c>
      <c r="G4" s="4">
        <v>-0.498</v>
      </c>
      <c r="H4" s="4">
        <f t="shared" ref="H4:H10" si="2">10^(G4/20)</f>
        <v>0.94427827936447872</v>
      </c>
      <c r="I4" s="4">
        <f t="shared" ref="I4:I10" si="3">H4^2</f>
        <v>0.89166146887954056</v>
      </c>
      <c r="K4" s="1">
        <v>2</v>
      </c>
      <c r="L4" s="4">
        <v>-0.90400000000000003</v>
      </c>
      <c r="M4" s="4">
        <f t="shared" ref="M4:M10" si="4">10^(L4/20)</f>
        <v>0.90115604433970453</v>
      </c>
      <c r="N4" s="4">
        <f t="shared" ref="N4:N10" si="5">M4^2</f>
        <v>0.81208221624998356</v>
      </c>
      <c r="P4" s="1">
        <v>2</v>
      </c>
      <c r="Q4" s="4">
        <v>-1.488</v>
      </c>
      <c r="R4" s="4">
        <f t="shared" ref="R4:R10" si="6">10^(Q4/20)</f>
        <v>0.84255837533982603</v>
      </c>
      <c r="S4" s="4">
        <f t="shared" ref="S4:S10" si="7">R4^2</f>
        <v>0.70990461585528719</v>
      </c>
      <c r="U4" s="1">
        <v>2</v>
      </c>
      <c r="V4" s="4">
        <v>-2.0630000000000002</v>
      </c>
      <c r="W4" s="4">
        <f t="shared" ref="W4:W10" si="8">10^(V4/20)</f>
        <v>0.78858770203367434</v>
      </c>
      <c r="X4" s="4">
        <f t="shared" ref="X4:X10" si="9">W4^2</f>
        <v>0.62187056379875116</v>
      </c>
    </row>
    <row r="5" spans="1:24" x14ac:dyDescent="0.45">
      <c r="A5" s="1">
        <v>3</v>
      </c>
      <c r="B5" s="4">
        <v>-12.91</v>
      </c>
      <c r="C5" s="4">
        <f t="shared" si="0"/>
        <v>0.22620385397696208</v>
      </c>
      <c r="D5" s="4">
        <f t="shared" si="1"/>
        <v>5.1168183554030786E-2</v>
      </c>
      <c r="F5" s="1">
        <v>3</v>
      </c>
      <c r="G5" s="4">
        <v>-11.615</v>
      </c>
      <c r="H5" s="4">
        <f t="shared" si="2"/>
        <v>0.26257295998844254</v>
      </c>
      <c r="I5" s="4">
        <f t="shared" si="3"/>
        <v>6.8944559317092244E-2</v>
      </c>
      <c r="K5" s="1">
        <v>3</v>
      </c>
      <c r="L5" s="4">
        <v>-11.195</v>
      </c>
      <c r="M5" s="4">
        <f t="shared" si="4"/>
        <v>0.27558146212469903</v>
      </c>
      <c r="N5" s="4">
        <f t="shared" si="5"/>
        <v>7.5945142266786919E-2</v>
      </c>
      <c r="P5" s="1">
        <v>3</v>
      </c>
      <c r="Q5" s="4">
        <v>-13.353</v>
      </c>
      <c r="R5" s="4">
        <f t="shared" si="6"/>
        <v>0.2149562118658318</v>
      </c>
      <c r="S5" s="4">
        <f t="shared" si="7"/>
        <v>4.620617301970837E-2</v>
      </c>
      <c r="U5" s="1">
        <v>3</v>
      </c>
      <c r="V5" s="4">
        <v>-15.952</v>
      </c>
      <c r="W5" s="4">
        <f t="shared" si="8"/>
        <v>0.15936758810287666</v>
      </c>
      <c r="X5" s="4">
        <f t="shared" si="9"/>
        <v>2.5398028137728151E-2</v>
      </c>
    </row>
    <row r="6" spans="1:24" x14ac:dyDescent="0.45">
      <c r="A6" s="1">
        <v>4</v>
      </c>
      <c r="B6" s="4">
        <v>-15.875</v>
      </c>
      <c r="C6" s="4">
        <f t="shared" si="0"/>
        <v>0.16078665490525609</v>
      </c>
      <c r="D6" s="4">
        <f t="shared" si="1"/>
        <v>2.5852348395621914E-2</v>
      </c>
      <c r="F6" s="1">
        <v>4</v>
      </c>
      <c r="G6" s="4">
        <v>-17.678000000000001</v>
      </c>
      <c r="H6" s="4">
        <f t="shared" si="2"/>
        <v>0.13064716797220155</v>
      </c>
      <c r="I6" s="4">
        <f t="shared" si="3"/>
        <v>1.7068682499156645E-2</v>
      </c>
      <c r="K6" s="1">
        <v>4</v>
      </c>
      <c r="L6" s="4">
        <v>-18.815000000000001</v>
      </c>
      <c r="M6" s="4">
        <f t="shared" si="4"/>
        <v>0.11461725415311876</v>
      </c>
      <c r="N6" s="4">
        <f t="shared" si="5"/>
        <v>1.3137114949600619E-2</v>
      </c>
      <c r="P6" s="1">
        <v>4</v>
      </c>
      <c r="Q6" s="4">
        <v>-17.846</v>
      </c>
      <c r="R6" s="4">
        <f t="shared" si="6"/>
        <v>0.12814450859457868</v>
      </c>
      <c r="S6" s="4">
        <f t="shared" si="7"/>
        <v>1.642101508294605E-2</v>
      </c>
      <c r="U6" s="1">
        <v>4</v>
      </c>
      <c r="V6" s="4">
        <v>-18.533999999999999</v>
      </c>
      <c r="W6" s="4">
        <f t="shared" si="8"/>
        <v>0.11838590542018096</v>
      </c>
      <c r="X6" s="4">
        <f t="shared" si="9"/>
        <v>1.4015222602156031E-2</v>
      </c>
    </row>
    <row r="7" spans="1:24" x14ac:dyDescent="0.45">
      <c r="A7" s="1">
        <v>5</v>
      </c>
      <c r="B7" s="4">
        <v>-22.629000000000001</v>
      </c>
      <c r="C7" s="4">
        <f t="shared" si="0"/>
        <v>7.3883932011749143E-2</v>
      </c>
      <c r="D7" s="4">
        <f t="shared" si="1"/>
        <v>5.4588354095167699E-3</v>
      </c>
      <c r="F7" s="1">
        <v>5</v>
      </c>
      <c r="G7" s="4">
        <v>-20.309999999999999</v>
      </c>
      <c r="H7" s="4">
        <f t="shared" si="2"/>
        <v>9.6493931180558212E-2</v>
      </c>
      <c r="I7" s="4">
        <f t="shared" si="3"/>
        <v>9.3110787546783046E-3</v>
      </c>
      <c r="K7" s="1">
        <v>5</v>
      </c>
      <c r="L7" s="4">
        <v>-26.321000000000002</v>
      </c>
      <c r="M7" s="4">
        <f t="shared" si="4"/>
        <v>4.8300319104122941E-2</v>
      </c>
      <c r="N7" s="4">
        <f t="shared" si="5"/>
        <v>2.3329208255601034E-3</v>
      </c>
      <c r="P7" s="1">
        <v>5</v>
      </c>
      <c r="Q7" s="4">
        <v>-28.152999999999999</v>
      </c>
      <c r="R7" s="4">
        <f t="shared" si="6"/>
        <v>3.9115600329580377E-2</v>
      </c>
      <c r="S7" s="4">
        <f t="shared" si="7"/>
        <v>1.5300301891434686E-3</v>
      </c>
      <c r="U7" s="1">
        <v>5</v>
      </c>
      <c r="V7" s="4">
        <v>-24.494</v>
      </c>
      <c r="W7" s="4">
        <f t="shared" si="8"/>
        <v>5.960737545096844E-2</v>
      </c>
      <c r="X7" s="4">
        <f t="shared" si="9"/>
        <v>3.5530392081527151E-3</v>
      </c>
    </row>
    <row r="8" spans="1:24" x14ac:dyDescent="0.45">
      <c r="A8" s="1">
        <v>6</v>
      </c>
      <c r="B8" s="4">
        <v>-23.977</v>
      </c>
      <c r="C8" s="4">
        <f t="shared" si="0"/>
        <v>6.3263031641686535E-2</v>
      </c>
      <c r="D8" s="4">
        <f t="shared" si="1"/>
        <v>4.0022111724970317E-3</v>
      </c>
      <c r="F8" s="1">
        <v>6</v>
      </c>
      <c r="G8" s="4">
        <v>-28.501999999999999</v>
      </c>
      <c r="H8" s="4">
        <f t="shared" si="2"/>
        <v>3.7575087449048715E-2</v>
      </c>
      <c r="I8" s="4">
        <f t="shared" si="3"/>
        <v>1.4118871968036583E-3</v>
      </c>
      <c r="K8" s="1">
        <v>6</v>
      </c>
      <c r="L8" s="4">
        <v>-24.355</v>
      </c>
      <c r="M8" s="4">
        <f t="shared" si="4"/>
        <v>6.0568943728724685E-2</v>
      </c>
      <c r="N8" s="4">
        <f t="shared" si="5"/>
        <v>3.6685969444134174E-3</v>
      </c>
      <c r="P8" s="1">
        <v>6</v>
      </c>
      <c r="Q8" s="4">
        <v>-29.902999999999999</v>
      </c>
      <c r="R8" s="4">
        <f t="shared" si="6"/>
        <v>3.1977904412428169E-2</v>
      </c>
      <c r="S8" s="4">
        <f t="shared" si="7"/>
        <v>1.0225863706103931E-3</v>
      </c>
      <c r="U8" s="1">
        <v>6</v>
      </c>
      <c r="V8" s="4">
        <v>-31.516999999999999</v>
      </c>
      <c r="W8" s="4">
        <f t="shared" si="8"/>
        <v>2.6555225886105299E-2</v>
      </c>
      <c r="X8" s="4">
        <f t="shared" si="9"/>
        <v>7.0518002186207695E-4</v>
      </c>
    </row>
    <row r="9" spans="1:24" x14ac:dyDescent="0.45">
      <c r="A9" s="1">
        <v>7</v>
      </c>
      <c r="B9" s="4">
        <v>-29.119</v>
      </c>
      <c r="C9" s="4">
        <f t="shared" si="0"/>
        <v>3.4998545827391141E-2</v>
      </c>
      <c r="D9" s="4">
        <f t="shared" si="1"/>
        <v>1.2248982100319977E-3</v>
      </c>
      <c r="F9" s="1">
        <v>7</v>
      </c>
      <c r="G9" s="4">
        <v>-25.485800000000001</v>
      </c>
      <c r="H9" s="4">
        <f t="shared" si="2"/>
        <v>5.3175306275293328E-2</v>
      </c>
      <c r="I9" s="4">
        <f t="shared" si="3"/>
        <v>2.8276131974712499E-3</v>
      </c>
      <c r="K9" s="1">
        <v>7</v>
      </c>
      <c r="L9" s="4">
        <v>-28.395</v>
      </c>
      <c r="M9" s="4">
        <f t="shared" si="4"/>
        <v>3.8040831393319027E-2</v>
      </c>
      <c r="N9" s="4">
        <f t="shared" si="5"/>
        <v>1.4471048530949264E-3</v>
      </c>
      <c r="P9" s="1">
        <v>7</v>
      </c>
      <c r="Q9" s="4">
        <v>-28.931999999999999</v>
      </c>
      <c r="R9" s="4">
        <f t="shared" si="6"/>
        <v>3.5760205018090234E-2</v>
      </c>
      <c r="S9" s="4">
        <f t="shared" si="7"/>
        <v>1.278792262935846E-3</v>
      </c>
      <c r="U9" s="1">
        <v>7</v>
      </c>
      <c r="V9" s="4">
        <v>-37.713000000000001</v>
      </c>
      <c r="W9" s="4">
        <f t="shared" si="8"/>
        <v>1.3012178132465021E-2</v>
      </c>
      <c r="X9" s="4">
        <f t="shared" si="9"/>
        <v>1.6931677975100089E-4</v>
      </c>
    </row>
    <row r="10" spans="1:24" x14ac:dyDescent="0.45">
      <c r="A10" s="1">
        <v>8</v>
      </c>
      <c r="B10" s="4">
        <v>-27.27</v>
      </c>
      <c r="C10" s="4">
        <f t="shared" si="0"/>
        <v>4.3301206773800408E-2</v>
      </c>
      <c r="D10" s="4">
        <f t="shared" si="1"/>
        <v>1.8749945080674183E-3</v>
      </c>
      <c r="F10" s="1">
        <v>8</v>
      </c>
      <c r="G10" s="4">
        <v>-32.256999999999998</v>
      </c>
      <c r="H10" s="4">
        <f t="shared" si="2"/>
        <v>2.4386529538195086E-2</v>
      </c>
      <c r="I10" s="4">
        <f t="shared" si="3"/>
        <v>5.9470282291726147E-4</v>
      </c>
      <c r="K10" s="1">
        <v>8</v>
      </c>
      <c r="L10" s="4">
        <v>-38.296999999999997</v>
      </c>
      <c r="M10" s="4">
        <f t="shared" si="4"/>
        <v>1.2166061289590899E-2</v>
      </c>
      <c r="N10" s="4">
        <f t="shared" si="5"/>
        <v>1.4801304730208215E-4</v>
      </c>
      <c r="P10" s="1">
        <v>8</v>
      </c>
      <c r="Q10" s="4">
        <v>-32.042999999999999</v>
      </c>
      <c r="R10" s="4">
        <f t="shared" si="6"/>
        <v>2.4994819221221688E-2</v>
      </c>
      <c r="S10" s="4">
        <f t="shared" si="7"/>
        <v>6.2474098790155314E-4</v>
      </c>
      <c r="U10" s="1">
        <v>8</v>
      </c>
      <c r="V10" s="4">
        <v>-33.606999999999999</v>
      </c>
      <c r="W10" s="4">
        <f t="shared" si="8"/>
        <v>2.0876130354084546E-2</v>
      </c>
      <c r="X10" s="4">
        <f t="shared" si="9"/>
        <v>4.3581281856073015E-4</v>
      </c>
    </row>
    <row r="11" spans="1:24" x14ac:dyDescent="0.45">
      <c r="A11" s="1" t="s">
        <v>5</v>
      </c>
      <c r="B11" s="4">
        <f>SQRT(SUM(D4:D10)/D3)</f>
        <v>0.58509351275376109</v>
      </c>
      <c r="C11" s="4"/>
      <c r="D11" s="4"/>
      <c r="F11" s="1" t="s">
        <v>5</v>
      </c>
      <c r="G11" s="4">
        <f>SQRT(SUM(I4:I10)/I3)</f>
        <v>0.44021661415927188</v>
      </c>
      <c r="H11" s="4"/>
      <c r="I11" s="4"/>
      <c r="K11" s="1" t="s">
        <v>5</v>
      </c>
      <c r="L11" s="4">
        <f>SQRT(SUM(N4:N10)/N3)</f>
        <v>0.31266183071490777</v>
      </c>
      <c r="M11" s="4"/>
      <c r="N11" s="4"/>
      <c r="P11" s="1" t="s">
        <v>5</v>
      </c>
      <c r="Q11" s="4">
        <f>SQRT(SUM(S4:S10)/S3)</f>
        <v>0.26672095828047437</v>
      </c>
      <c r="R11" s="4"/>
      <c r="S11" s="4"/>
      <c r="U11" s="1" t="s">
        <v>5</v>
      </c>
      <c r="V11" s="4">
        <f>SQRT(SUM(X4:X10)/X3)</f>
        <v>0.23379493133774276</v>
      </c>
      <c r="W11" s="4"/>
      <c r="X11" s="4"/>
    </row>
    <row r="12" spans="1:24" x14ac:dyDescent="0.45">
      <c r="A12" s="2" t="s">
        <v>6</v>
      </c>
      <c r="B12" s="5">
        <f>B11*100</f>
        <v>58.509351275376112</v>
      </c>
      <c r="C12" s="4"/>
      <c r="D12" s="4"/>
      <c r="F12" s="2" t="s">
        <v>6</v>
      </c>
      <c r="G12" s="5">
        <f>G11*100</f>
        <v>44.021661415927191</v>
      </c>
      <c r="H12" s="4"/>
      <c r="I12" s="4"/>
      <c r="K12" s="2" t="s">
        <v>6</v>
      </c>
      <c r="L12" s="5">
        <f>L11*100</f>
        <v>31.266183071490776</v>
      </c>
      <c r="M12" s="4"/>
      <c r="N12" s="4"/>
      <c r="P12" s="2" t="s">
        <v>6</v>
      </c>
      <c r="Q12" s="5">
        <f>Q11*100</f>
        <v>26.672095828047439</v>
      </c>
      <c r="R12" s="4"/>
      <c r="S12" s="4"/>
      <c r="U12" s="2" t="s">
        <v>6</v>
      </c>
      <c r="V12" s="5">
        <f>V11*100</f>
        <v>23.379493133774275</v>
      </c>
      <c r="W12" s="4"/>
      <c r="X12" s="4"/>
    </row>
    <row r="13" spans="1:24" x14ac:dyDescent="0.45">
      <c r="A13" s="1" t="s">
        <v>7</v>
      </c>
      <c r="B13" s="4">
        <f>(B16^2/250) * 1000</f>
        <v>12.67502404</v>
      </c>
      <c r="C13" s="4"/>
      <c r="D13" s="4"/>
      <c r="F13" s="1" t="s">
        <v>7</v>
      </c>
      <c r="G13" s="4">
        <f>(G16^2/500) * 1000</f>
        <v>12.490002</v>
      </c>
      <c r="H13" s="4"/>
      <c r="I13" s="4"/>
      <c r="K13" s="1" t="s">
        <v>7</v>
      </c>
      <c r="L13" s="4">
        <f>(L16^2/1000) * 1000</f>
        <v>10.864275210000001</v>
      </c>
      <c r="M13" s="4"/>
      <c r="N13" s="4"/>
      <c r="P13" s="1" t="s">
        <v>7</v>
      </c>
      <c r="Q13" s="4">
        <f>(Q16^2/1500) * 1000</f>
        <v>8.3983536599999997</v>
      </c>
      <c r="R13" s="4"/>
      <c r="S13" s="4"/>
      <c r="U13" s="1" t="s">
        <v>7</v>
      </c>
      <c r="V13" s="4">
        <f>(V16^2/2000) * 1000</f>
        <v>6.9788480000000011</v>
      </c>
      <c r="W13" s="4"/>
      <c r="X13" s="4"/>
    </row>
    <row r="14" spans="1:24" x14ac:dyDescent="0.45">
      <c r="A14" s="1" t="s">
        <v>8</v>
      </c>
      <c r="B14" s="4">
        <v>116.68</v>
      </c>
      <c r="C14" s="4"/>
      <c r="D14" s="4"/>
      <c r="F14" s="1" t="s">
        <v>8</v>
      </c>
      <c r="G14" s="4">
        <v>116.68</v>
      </c>
      <c r="H14" s="4"/>
      <c r="I14" s="4"/>
      <c r="K14" s="1" t="s">
        <v>8</v>
      </c>
      <c r="L14" s="4">
        <v>116.68</v>
      </c>
      <c r="M14" s="4"/>
      <c r="N14" s="4"/>
      <c r="P14" s="1" t="s">
        <v>8</v>
      </c>
      <c r="Q14" s="4">
        <v>116.68</v>
      </c>
      <c r="R14" s="4"/>
      <c r="S14" s="4"/>
      <c r="U14" s="1" t="s">
        <v>8</v>
      </c>
      <c r="V14" s="4">
        <v>116.68</v>
      </c>
      <c r="W14" s="4"/>
      <c r="X14" s="4"/>
    </row>
    <row r="15" spans="1:24" x14ac:dyDescent="0.45">
      <c r="A15" s="2" t="s">
        <v>9</v>
      </c>
      <c r="B15" s="5">
        <f>(B13/B14)*100</f>
        <v>10.863064826876927</v>
      </c>
      <c r="C15" s="4"/>
      <c r="D15" s="4"/>
      <c r="F15" s="2" t="s">
        <v>9</v>
      </c>
      <c r="G15" s="5">
        <f>(G16^2/500) * 1000</f>
        <v>12.490002</v>
      </c>
      <c r="H15" s="4"/>
      <c r="I15" s="4"/>
      <c r="K15" s="2" t="s">
        <v>9</v>
      </c>
      <c r="L15" s="5">
        <f>(L13/L14)*100</f>
        <v>9.3111717603702431</v>
      </c>
      <c r="M15" s="4"/>
      <c r="N15" s="4"/>
      <c r="P15" s="2" t="s">
        <v>9</v>
      </c>
      <c r="Q15" s="5">
        <f>(Q13/Q14)*100</f>
        <v>7.1977662495714769</v>
      </c>
      <c r="R15" s="4"/>
      <c r="S15" s="4"/>
      <c r="U15" s="2" t="s">
        <v>9</v>
      </c>
      <c r="V15" s="5">
        <f>(V13/V14)*100</f>
        <v>5.9811861501542687</v>
      </c>
      <c r="W15" s="4"/>
      <c r="X15" s="4"/>
    </row>
    <row r="16" spans="1:24" x14ac:dyDescent="0.45">
      <c r="B16">
        <v>1.7801</v>
      </c>
      <c r="G16">
        <v>2.4990000000000001</v>
      </c>
      <c r="L16">
        <v>3.2961</v>
      </c>
      <c r="Q16">
        <v>3.5493000000000001</v>
      </c>
      <c r="V16">
        <v>3.7360000000000002</v>
      </c>
    </row>
  </sheetData>
  <mergeCells count="5">
    <mergeCell ref="A1:D1"/>
    <mergeCell ref="F1:I1"/>
    <mergeCell ref="K1:N1"/>
    <mergeCell ref="P1:S1"/>
    <mergeCell ref="U1: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8F11-04E2-49CF-BBE6-A9D3F7CC11A1}">
  <dimension ref="A1:N15"/>
  <sheetViews>
    <sheetView tabSelected="1" zoomScale="190" zoomScaleNormal="190" workbookViewId="0">
      <selection activeCell="L3" sqref="L3:N15"/>
    </sheetView>
  </sheetViews>
  <sheetFormatPr defaultRowHeight="14.25" x14ac:dyDescent="0.45"/>
  <cols>
    <col min="1" max="1" width="11.1328125" bestFit="1" customWidth="1"/>
    <col min="2" max="2" width="11.73046875" bestFit="1" customWidth="1"/>
    <col min="3" max="3" width="6.265625" bestFit="1" customWidth="1"/>
    <col min="4" max="4" width="7.6640625" bestFit="1" customWidth="1"/>
    <col min="6" max="6" width="11.1328125" bestFit="1" customWidth="1"/>
    <col min="7" max="7" width="11.73046875" bestFit="1" customWidth="1"/>
    <col min="8" max="8" width="6.265625" bestFit="1" customWidth="1"/>
    <col min="9" max="9" width="7.6640625" bestFit="1" customWidth="1"/>
    <col min="11" max="11" width="11.1328125" bestFit="1" customWidth="1"/>
    <col min="12" max="12" width="11.73046875" bestFit="1" customWidth="1"/>
    <col min="13" max="13" width="6.265625" bestFit="1" customWidth="1"/>
    <col min="14" max="14" width="7.6640625" bestFit="1" customWidth="1"/>
  </cols>
  <sheetData>
    <row r="1" spans="1:14" x14ac:dyDescent="0.45">
      <c r="A1" s="3" t="s">
        <v>14</v>
      </c>
      <c r="B1" s="3"/>
      <c r="C1" s="3"/>
      <c r="D1" s="3"/>
      <c r="F1" s="3" t="s">
        <v>15</v>
      </c>
      <c r="G1" s="3"/>
      <c r="H1" s="3"/>
      <c r="I1" s="3"/>
      <c r="K1" s="3" t="s">
        <v>16</v>
      </c>
      <c r="L1" s="3"/>
      <c r="M1" s="3"/>
      <c r="N1" s="3"/>
    </row>
    <row r="2" spans="1:14" x14ac:dyDescent="0.45">
      <c r="A2" s="1" t="s">
        <v>1</v>
      </c>
      <c r="B2" s="1" t="s">
        <v>2</v>
      </c>
      <c r="C2" s="1" t="s">
        <v>3</v>
      </c>
      <c r="D2" s="1" t="s">
        <v>4</v>
      </c>
      <c r="F2" s="1" t="s">
        <v>1</v>
      </c>
      <c r="G2" s="1" t="s">
        <v>2</v>
      </c>
      <c r="H2" s="1" t="s">
        <v>3</v>
      </c>
      <c r="I2" s="1" t="s">
        <v>4</v>
      </c>
      <c r="K2" s="1" t="s">
        <v>1</v>
      </c>
      <c r="L2" s="1" t="s">
        <v>2</v>
      </c>
      <c r="M2" s="1" t="s">
        <v>3</v>
      </c>
      <c r="N2" s="1" t="s">
        <v>4</v>
      </c>
    </row>
    <row r="3" spans="1:14" x14ac:dyDescent="0.45">
      <c r="A3" s="1">
        <v>1</v>
      </c>
      <c r="B3" s="4">
        <v>-22.437000000000001</v>
      </c>
      <c r="C3" s="4">
        <f>10^(B3/20)</f>
        <v>7.553530723252061E-2</v>
      </c>
      <c r="D3" s="4">
        <f>C3^2</f>
        <v>5.7055826387112808E-3</v>
      </c>
      <c r="F3" s="1">
        <v>1</v>
      </c>
      <c r="G3" s="4">
        <v>7.4009999999999998</v>
      </c>
      <c r="H3" s="4">
        <f>10^(G3/20)</f>
        <v>2.3444987201728327</v>
      </c>
      <c r="I3" s="4">
        <f>H3^2</f>
        <v>5.4966742488920506</v>
      </c>
      <c r="K3" s="1">
        <v>1</v>
      </c>
      <c r="L3" s="4">
        <v>13.589</v>
      </c>
      <c r="M3" s="4">
        <f>10^(L3/20)</f>
        <v>4.7802432839631912</v>
      </c>
      <c r="N3" s="4">
        <f>M3^2</f>
        <v>22.850725853875193</v>
      </c>
    </row>
    <row r="4" spans="1:14" x14ac:dyDescent="0.45">
      <c r="A4" s="1">
        <v>2</v>
      </c>
      <c r="B4" s="4">
        <v>-35.363999999999997</v>
      </c>
      <c r="C4" s="4">
        <f t="shared" ref="C4:C10" si="0">10^(B4/20)</f>
        <v>1.705296889909589E-2</v>
      </c>
      <c r="D4" s="4">
        <f t="shared" ref="D4:D10" si="1">C4^2</f>
        <v>2.9080374827353169E-4</v>
      </c>
      <c r="F4" s="1">
        <v>2</v>
      </c>
      <c r="G4" s="4">
        <v>-9.2759999999999998</v>
      </c>
      <c r="H4" s="4">
        <f t="shared" ref="H4:H10" si="2">10^(G4/20)</f>
        <v>0.34371619861753494</v>
      </c>
      <c r="I4" s="4">
        <f t="shared" ref="I4:I10" si="3">H4^2</f>
        <v>0.11814082519208872</v>
      </c>
      <c r="K4" s="1">
        <v>2</v>
      </c>
      <c r="L4" s="4">
        <v>0.66500000000000004</v>
      </c>
      <c r="M4" s="4">
        <f t="shared" ref="M4:M10" si="4">10^(L4/20)</f>
        <v>1.0795679926883703</v>
      </c>
      <c r="N4" s="4">
        <f t="shared" ref="N4:N10" si="5">M4^2</f>
        <v>1.1654670508371971</v>
      </c>
    </row>
    <row r="5" spans="1:14" x14ac:dyDescent="0.45">
      <c r="A5" s="1">
        <v>3</v>
      </c>
      <c r="B5" s="4">
        <v>-28.513000000000002</v>
      </c>
      <c r="C5" s="4">
        <f t="shared" si="0"/>
        <v>3.7527531658324224E-2</v>
      </c>
      <c r="D5" s="4">
        <f t="shared" si="1"/>
        <v>1.4083156323665268E-3</v>
      </c>
      <c r="F5" s="1">
        <v>3</v>
      </c>
      <c r="G5" s="4">
        <v>-16.561</v>
      </c>
      <c r="H5" s="4">
        <f t="shared" si="2"/>
        <v>0.14857645774715242</v>
      </c>
      <c r="I5" s="4">
        <f t="shared" si="3"/>
        <v>2.2074963796691369E-2</v>
      </c>
      <c r="K5" s="1">
        <v>3</v>
      </c>
      <c r="L5" s="4">
        <v>-8.0730000000000004</v>
      </c>
      <c r="M5" s="4">
        <f t="shared" si="4"/>
        <v>0.39477532523251097</v>
      </c>
      <c r="N5" s="4">
        <f t="shared" si="5"/>
        <v>0.15584755741243481</v>
      </c>
    </row>
    <row r="6" spans="1:14" x14ac:dyDescent="0.45">
      <c r="A6" s="1">
        <v>4</v>
      </c>
      <c r="B6" s="4">
        <v>-44.451000000000001</v>
      </c>
      <c r="C6" s="4">
        <f t="shared" si="0"/>
        <v>5.9903196853714428E-3</v>
      </c>
      <c r="D6" s="4">
        <f t="shared" si="1"/>
        <v>3.588392993294862E-5</v>
      </c>
      <c r="F6" s="1">
        <v>4</v>
      </c>
      <c r="G6" s="4">
        <v>-25.937999999999999</v>
      </c>
      <c r="H6" s="4">
        <f t="shared" si="2"/>
        <v>5.0477751350094718E-2</v>
      </c>
      <c r="I6" s="4">
        <f t="shared" si="3"/>
        <v>2.5480033813619894E-3</v>
      </c>
      <c r="K6" s="1">
        <v>4</v>
      </c>
      <c r="L6" s="4">
        <v>-18.635000000000002</v>
      </c>
      <c r="M6" s="4">
        <f t="shared" si="4"/>
        <v>0.11701728027907701</v>
      </c>
      <c r="N6" s="4">
        <f t="shared" si="5"/>
        <v>1.3693043883912065E-2</v>
      </c>
    </row>
    <row r="7" spans="1:14" x14ac:dyDescent="0.45">
      <c r="A7" s="1">
        <v>5</v>
      </c>
      <c r="B7" s="4">
        <v>-46.462000000000003</v>
      </c>
      <c r="C7" s="4">
        <f t="shared" si="0"/>
        <v>4.752257885621892E-3</v>
      </c>
      <c r="D7" s="4">
        <f t="shared" si="1"/>
        <v>2.2583955011455456E-5</v>
      </c>
      <c r="F7" s="1">
        <v>5</v>
      </c>
      <c r="G7" s="4">
        <v>-23.433</v>
      </c>
      <c r="H7" s="4">
        <f t="shared" si="2"/>
        <v>6.7351922999216704E-2</v>
      </c>
      <c r="I7" s="4">
        <f t="shared" si="3"/>
        <v>4.5362815316924163E-3</v>
      </c>
      <c r="K7" s="1">
        <v>5</v>
      </c>
      <c r="L7" s="4">
        <v>-12.673</v>
      </c>
      <c r="M7" s="4">
        <f t="shared" si="4"/>
        <v>0.23246094555410315</v>
      </c>
      <c r="N7" s="4">
        <f t="shared" si="5"/>
        <v>5.4038091207907708E-2</v>
      </c>
    </row>
    <row r="8" spans="1:14" x14ac:dyDescent="0.45">
      <c r="A8" s="1">
        <v>6</v>
      </c>
      <c r="B8" s="4">
        <v>-53.89</v>
      </c>
      <c r="C8" s="4">
        <f t="shared" si="0"/>
        <v>2.0206914319922564E-3</v>
      </c>
      <c r="D8" s="4">
        <f t="shared" si="1"/>
        <v>4.0831938633269162E-6</v>
      </c>
      <c r="F8" s="1">
        <v>6</v>
      </c>
      <c r="G8" s="4">
        <v>-30.035</v>
      </c>
      <c r="H8" s="4">
        <f t="shared" si="2"/>
        <v>3.1495608253200649E-2</v>
      </c>
      <c r="I8" s="4">
        <f t="shared" si="3"/>
        <v>9.9197333923908078E-4</v>
      </c>
      <c r="K8" s="1">
        <v>6</v>
      </c>
      <c r="L8" s="4">
        <v>-22.062999999999999</v>
      </c>
      <c r="M8" s="4">
        <f t="shared" si="4"/>
        <v>7.885877020336747E-2</v>
      </c>
      <c r="N8" s="4">
        <f t="shared" si="5"/>
        <v>6.2187056379875176E-3</v>
      </c>
    </row>
    <row r="9" spans="1:14" x14ac:dyDescent="0.45">
      <c r="A9" s="1">
        <v>7</v>
      </c>
      <c r="B9" s="4">
        <v>-48.755000000000003</v>
      </c>
      <c r="C9" s="4">
        <f t="shared" si="0"/>
        <v>3.64963976621414E-3</v>
      </c>
      <c r="D9" s="4">
        <f t="shared" si="1"/>
        <v>1.3319870423131603E-5</v>
      </c>
      <c r="F9" s="1">
        <v>7</v>
      </c>
      <c r="G9" s="4">
        <v>-25.423999999999999</v>
      </c>
      <c r="H9" s="4">
        <f t="shared" si="2"/>
        <v>5.3554997084011381E-2</v>
      </c>
      <c r="I9" s="4">
        <f t="shared" si="3"/>
        <v>2.8681377126684674E-3</v>
      </c>
      <c r="K9" s="1">
        <v>7</v>
      </c>
      <c r="L9" s="4">
        <v>-19.446000000000002</v>
      </c>
      <c r="M9" s="4">
        <f t="shared" si="4"/>
        <v>0.10658595971472538</v>
      </c>
      <c r="N9" s="4">
        <f t="shared" si="5"/>
        <v>1.1360566808309063E-2</v>
      </c>
    </row>
    <row r="10" spans="1:14" x14ac:dyDescent="0.45">
      <c r="A10" s="1">
        <v>8</v>
      </c>
      <c r="B10" s="4">
        <v>-59.689</v>
      </c>
      <c r="C10" s="4">
        <f t="shared" si="0"/>
        <v>1.0364539237300568E-3</v>
      </c>
      <c r="D10" s="4">
        <f t="shared" si="1"/>
        <v>1.0742367360154303E-6</v>
      </c>
      <c r="F10" s="1">
        <v>8</v>
      </c>
      <c r="G10" s="4">
        <v>-34.902999999999999</v>
      </c>
      <c r="H10" s="4">
        <f t="shared" si="2"/>
        <v>1.798249714409517E-2</v>
      </c>
      <c r="I10" s="4">
        <f t="shared" si="3"/>
        <v>3.2337020353739095E-4</v>
      </c>
      <c r="K10" s="1">
        <v>8</v>
      </c>
      <c r="L10" s="4">
        <v>-31.556999999999999</v>
      </c>
      <c r="M10" s="4">
        <f t="shared" si="4"/>
        <v>2.6433215706022712E-2</v>
      </c>
      <c r="N10" s="4">
        <f t="shared" si="5"/>
        <v>6.9871489256112583E-4</v>
      </c>
    </row>
    <row r="11" spans="1:14" x14ac:dyDescent="0.45">
      <c r="A11" s="1" t="s">
        <v>5</v>
      </c>
      <c r="B11" s="4">
        <f>SQRT(SUM(D4:D10)/D3)</f>
        <v>0.55792956429777829</v>
      </c>
      <c r="C11" s="4"/>
      <c r="D11" s="4"/>
      <c r="F11" s="1" t="s">
        <v>5</v>
      </c>
      <c r="G11" s="4">
        <f>SQRT(SUM(I4:I10)/I3)</f>
        <v>0.16600942468391491</v>
      </c>
      <c r="H11" s="4"/>
      <c r="I11" s="4"/>
      <c r="K11" s="1" t="s">
        <v>5</v>
      </c>
      <c r="L11" s="4">
        <f>SQRT(SUM(N4:N10)/N3)</f>
        <v>0.24816869985743079</v>
      </c>
      <c r="M11" s="4"/>
      <c r="N11" s="4"/>
    </row>
    <row r="12" spans="1:14" x14ac:dyDescent="0.45">
      <c r="A12" s="2" t="s">
        <v>6</v>
      </c>
      <c r="B12" s="5">
        <f>B11*100</f>
        <v>55.792956429777831</v>
      </c>
      <c r="C12" s="4"/>
      <c r="D12" s="4"/>
      <c r="F12" s="2" t="s">
        <v>6</v>
      </c>
      <c r="G12" s="5">
        <f>G11*100</f>
        <v>16.600942468391491</v>
      </c>
      <c r="H12" s="4"/>
      <c r="I12" s="4"/>
      <c r="K12" s="2" t="s">
        <v>6</v>
      </c>
      <c r="L12" s="5">
        <f>L11*100</f>
        <v>24.816869985743079</v>
      </c>
      <c r="M12" s="4"/>
      <c r="N12" s="4"/>
    </row>
    <row r="13" spans="1:14" x14ac:dyDescent="0.45">
      <c r="A13" s="1" t="s">
        <v>7</v>
      </c>
      <c r="B13" s="4">
        <v>0.19</v>
      </c>
      <c r="C13" s="4"/>
      <c r="D13" s="4"/>
      <c r="F13" s="1" t="s">
        <v>7</v>
      </c>
      <c r="G13" s="4">
        <v>78.013000000000005</v>
      </c>
      <c r="H13" s="4"/>
      <c r="I13" s="4"/>
      <c r="K13" s="1" t="s">
        <v>7</v>
      </c>
      <c r="L13" s="4">
        <v>204.8</v>
      </c>
      <c r="M13" s="4"/>
      <c r="N13" s="4"/>
    </row>
    <row r="14" spans="1:14" x14ac:dyDescent="0.45">
      <c r="A14" s="1" t="s">
        <v>8</v>
      </c>
      <c r="B14" s="4">
        <v>18.621099999999998</v>
      </c>
      <c r="C14" s="4"/>
      <c r="D14" s="4"/>
      <c r="F14" s="1" t="s">
        <v>8</v>
      </c>
      <c r="G14" s="4">
        <v>377.197</v>
      </c>
      <c r="H14" s="4"/>
      <c r="I14" s="4"/>
      <c r="K14" s="1" t="s">
        <v>8</v>
      </c>
      <c r="L14" s="4">
        <v>611.15499999999997</v>
      </c>
      <c r="M14" s="4"/>
      <c r="N14" s="4"/>
    </row>
    <row r="15" spans="1:14" x14ac:dyDescent="0.45">
      <c r="A15" s="2" t="s">
        <v>9</v>
      </c>
      <c r="B15" s="5">
        <f>(B13/B14)*100</f>
        <v>1.0203478849262397</v>
      </c>
      <c r="C15" s="4"/>
      <c r="D15" s="4"/>
      <c r="F15" s="2" t="s">
        <v>9</v>
      </c>
      <c r="G15" s="5">
        <f>(G13/G14)*100</f>
        <v>20.68229598856831</v>
      </c>
      <c r="H15" s="4"/>
      <c r="I15" s="4"/>
      <c r="K15" s="2" t="s">
        <v>9</v>
      </c>
      <c r="L15" s="5">
        <f>(L13/L14)*100</f>
        <v>33.510320622428033</v>
      </c>
      <c r="M15" s="4"/>
      <c r="N15" s="4"/>
    </row>
  </sheetData>
  <mergeCells count="3">
    <mergeCell ref="A1:D1"/>
    <mergeCell ref="F1:I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A80D-5461-4697-BE35-506D888578EB}">
  <dimension ref="A1:N15"/>
  <sheetViews>
    <sheetView zoomScale="175" zoomScaleNormal="175" workbookViewId="0">
      <selection activeCell="C3" sqref="C3"/>
    </sheetView>
  </sheetViews>
  <sheetFormatPr defaultRowHeight="14.25" x14ac:dyDescent="0.45"/>
  <cols>
    <col min="1" max="1" width="11.1328125" bestFit="1" customWidth="1"/>
    <col min="2" max="2" width="11.73046875" bestFit="1" customWidth="1"/>
    <col min="3" max="3" width="6.265625" bestFit="1" customWidth="1"/>
    <col min="4" max="4" width="7.6640625" bestFit="1" customWidth="1"/>
    <col min="6" max="6" width="11.1328125" bestFit="1" customWidth="1"/>
    <col min="7" max="7" width="11.73046875" bestFit="1" customWidth="1"/>
    <col min="8" max="8" width="6.265625" bestFit="1" customWidth="1"/>
    <col min="9" max="9" width="7.6640625" bestFit="1" customWidth="1"/>
    <col min="11" max="11" width="11.1328125" bestFit="1" customWidth="1"/>
    <col min="12" max="12" width="11.73046875" bestFit="1" customWidth="1"/>
    <col min="13" max="13" width="6.265625" bestFit="1" customWidth="1"/>
    <col min="14" max="14" width="7.6640625" bestFit="1" customWidth="1"/>
  </cols>
  <sheetData>
    <row r="1" spans="1:14" x14ac:dyDescent="0.45">
      <c r="A1" s="3" t="s">
        <v>17</v>
      </c>
      <c r="B1" s="3"/>
      <c r="C1" s="3"/>
      <c r="D1" s="3"/>
      <c r="F1" s="3" t="s">
        <v>15</v>
      </c>
      <c r="G1" s="3"/>
      <c r="H1" s="3"/>
      <c r="I1" s="3"/>
      <c r="K1" s="3" t="s">
        <v>16</v>
      </c>
      <c r="L1" s="3"/>
      <c r="M1" s="3"/>
      <c r="N1" s="3"/>
    </row>
    <row r="2" spans="1:14" x14ac:dyDescent="0.45">
      <c r="A2" s="1" t="s">
        <v>1</v>
      </c>
      <c r="B2" s="1" t="s">
        <v>2</v>
      </c>
      <c r="C2" s="1" t="s">
        <v>3</v>
      </c>
      <c r="D2" s="1" t="s">
        <v>4</v>
      </c>
      <c r="F2" s="1" t="s">
        <v>1</v>
      </c>
      <c r="G2" s="1" t="s">
        <v>2</v>
      </c>
      <c r="H2" s="1" t="s">
        <v>3</v>
      </c>
      <c r="I2" s="1" t="s">
        <v>4</v>
      </c>
      <c r="K2" s="1" t="s">
        <v>1</v>
      </c>
      <c r="L2" s="1" t="s">
        <v>2</v>
      </c>
      <c r="M2" s="1" t="s">
        <v>3</v>
      </c>
      <c r="N2" s="1" t="s">
        <v>4</v>
      </c>
    </row>
    <row r="3" spans="1:14" x14ac:dyDescent="0.45">
      <c r="A3" s="1">
        <v>1</v>
      </c>
      <c r="B3" s="4">
        <v>-6.766</v>
      </c>
      <c r="C3" s="4">
        <f>10^(B3/20)</f>
        <v>0.45888091961986754</v>
      </c>
      <c r="D3" s="4">
        <f>C3^2</f>
        <v>0.21057169839117534</v>
      </c>
      <c r="F3" s="1">
        <v>1</v>
      </c>
      <c r="G3" s="4">
        <v>9.2309999999999999</v>
      </c>
      <c r="H3" s="4">
        <f>10^(G3/20)</f>
        <v>2.8943430214386456</v>
      </c>
      <c r="I3" s="4">
        <f>H3^2</f>
        <v>8.3772215257505884</v>
      </c>
      <c r="K3" s="1">
        <v>1</v>
      </c>
      <c r="L3" s="4">
        <v>12.903</v>
      </c>
      <c r="M3" s="4">
        <f>10^(L3/20)</f>
        <v>4.417229867238496</v>
      </c>
      <c r="N3" s="4">
        <f>M3^2</f>
        <v>19.511919700023821</v>
      </c>
    </row>
    <row r="4" spans="1:14" x14ac:dyDescent="0.45">
      <c r="A4" s="1">
        <v>2</v>
      </c>
      <c r="B4" s="4">
        <v>-21.802</v>
      </c>
      <c r="C4" s="4">
        <f t="shared" ref="C4:C10" si="0">10^(B4/20)</f>
        <v>8.1264337656720309E-2</v>
      </c>
      <c r="D4" s="4">
        <f t="shared" ref="D4:D10" si="1">C4^2</f>
        <v>6.6038925747854502E-3</v>
      </c>
      <c r="F4" s="1">
        <v>2</v>
      </c>
      <c r="G4" s="4">
        <v>-5.8460000000000001</v>
      </c>
      <c r="H4" s="4">
        <f t="shared" ref="H4:H10" si="2">10^(G4/20)</f>
        <v>0.51015247738556035</v>
      </c>
      <c r="I4" s="4">
        <f t="shared" ref="I4:I10" si="3">H4^2</f>
        <v>0.2602555501826247</v>
      </c>
      <c r="K4" s="1">
        <v>2</v>
      </c>
      <c r="L4" s="4">
        <v>-1.135</v>
      </c>
      <c r="M4" s="4">
        <f t="shared" ref="M4:M10" si="4">10^(L4/20)</f>
        <v>0.8775058087311286</v>
      </c>
      <c r="N4" s="4">
        <f t="shared" ref="N4:N10" si="5">M4^2</f>
        <v>0.770016444356872</v>
      </c>
    </row>
    <row r="5" spans="1:14" x14ac:dyDescent="0.45">
      <c r="A5" s="1">
        <v>3</v>
      </c>
      <c r="B5" s="4">
        <v>-54.494</v>
      </c>
      <c r="C5" s="4">
        <f t="shared" si="0"/>
        <v>1.8849507176986655E-3</v>
      </c>
      <c r="D5" s="4">
        <f t="shared" si="1"/>
        <v>3.5530392081527142E-6</v>
      </c>
      <c r="F5" s="1">
        <v>3</v>
      </c>
      <c r="G5" s="4">
        <v>-42.274999999999999</v>
      </c>
      <c r="H5" s="4">
        <f t="shared" si="2"/>
        <v>7.6957331481550878E-3</v>
      </c>
      <c r="I5" s="4">
        <f t="shared" si="3"/>
        <v>5.9224308687613015E-5</v>
      </c>
      <c r="K5" s="1">
        <v>3</v>
      </c>
      <c r="L5" s="4">
        <v>-17.588000000000001</v>
      </c>
      <c r="M5" s="4">
        <f t="shared" si="4"/>
        <v>0.13200792361922553</v>
      </c>
      <c r="N5" s="4">
        <f t="shared" si="5"/>
        <v>1.7426091898259281E-2</v>
      </c>
    </row>
    <row r="6" spans="1:14" x14ac:dyDescent="0.45">
      <c r="A6" s="1">
        <v>4</v>
      </c>
      <c r="B6" s="4">
        <v>-63.293999999999997</v>
      </c>
      <c r="C6" s="4">
        <f t="shared" si="0"/>
        <v>6.8438423991953781E-4</v>
      </c>
      <c r="D6" s="4">
        <f t="shared" si="1"/>
        <v>4.6838178785024351E-7</v>
      </c>
      <c r="F6" s="1">
        <v>4</v>
      </c>
      <c r="G6" s="4">
        <v>-46.625</v>
      </c>
      <c r="H6" s="4">
        <f t="shared" si="2"/>
        <v>4.6639082688444073E-3</v>
      </c>
      <c r="I6" s="4">
        <f t="shared" si="3"/>
        <v>2.1752040340195236E-5</v>
      </c>
      <c r="K6" s="1">
        <v>4</v>
      </c>
      <c r="L6" s="4">
        <v>-27.669</v>
      </c>
      <c r="M6" s="4">
        <f t="shared" si="4"/>
        <v>4.1357092571924499E-2</v>
      </c>
      <c r="N6" s="4">
        <f t="shared" si="5"/>
        <v>1.7104091060027326E-3</v>
      </c>
    </row>
    <row r="7" spans="1:14" x14ac:dyDescent="0.45">
      <c r="A7" s="1">
        <v>5</v>
      </c>
      <c r="B7" s="4">
        <v>-59.497</v>
      </c>
      <c r="C7" s="4">
        <f t="shared" si="0"/>
        <v>1.0596196416407788E-3</v>
      </c>
      <c r="D7" s="4">
        <f t="shared" si="1"/>
        <v>1.1227937849509325E-6</v>
      </c>
      <c r="F7" s="1">
        <v>5</v>
      </c>
      <c r="G7" s="4">
        <v>-48.505000000000003</v>
      </c>
      <c r="H7" s="4">
        <f t="shared" si="2"/>
        <v>3.7562111714573416E-3</v>
      </c>
      <c r="I7" s="4">
        <f t="shared" si="3"/>
        <v>1.4109122364580935E-5</v>
      </c>
      <c r="K7" s="1">
        <v>5</v>
      </c>
      <c r="L7" s="4">
        <v>-20.391999999999999</v>
      </c>
      <c r="M7" s="4">
        <f t="shared" si="4"/>
        <v>9.558725718846911E-2</v>
      </c>
      <c r="N7" s="4">
        <f t="shared" si="5"/>
        <v>9.1369237368145399E-3</v>
      </c>
    </row>
    <row r="8" spans="1:14" x14ac:dyDescent="0.45">
      <c r="A8" s="1">
        <v>6</v>
      </c>
      <c r="B8" s="4">
        <v>-66.798000000000002</v>
      </c>
      <c r="C8" s="4">
        <f t="shared" si="0"/>
        <v>4.5719345017813885E-4</v>
      </c>
      <c r="D8" s="4">
        <f t="shared" si="1"/>
        <v>2.0902585088579034E-7</v>
      </c>
      <c r="F8" s="1">
        <v>6</v>
      </c>
      <c r="G8" s="4">
        <v>-53.125999999999998</v>
      </c>
      <c r="H8" s="4">
        <f t="shared" si="2"/>
        <v>2.2064800240602926E-3</v>
      </c>
      <c r="I8" s="4">
        <f t="shared" si="3"/>
        <v>4.8685540965771096E-6</v>
      </c>
      <c r="K8" s="1">
        <v>6</v>
      </c>
      <c r="L8" s="4">
        <v>-34.014000000000003</v>
      </c>
      <c r="M8" s="4">
        <f t="shared" si="4"/>
        <v>1.9920489224688011E-2</v>
      </c>
      <c r="N8" s="4">
        <f t="shared" si="5"/>
        <v>3.9682589095091115E-4</v>
      </c>
    </row>
    <row r="9" spans="1:14" x14ac:dyDescent="0.45">
      <c r="A9" s="1">
        <v>7</v>
      </c>
      <c r="B9" s="4">
        <v>-57.338999999999999</v>
      </c>
      <c r="C9" s="4">
        <f t="shared" si="0"/>
        <v>1.3584698372042345E-3</v>
      </c>
      <c r="D9" s="4">
        <f t="shared" si="1"/>
        <v>1.8454402985936994E-6</v>
      </c>
      <c r="F9" s="1">
        <v>7</v>
      </c>
      <c r="G9" s="4">
        <v>-40.466999999999999</v>
      </c>
      <c r="H9" s="4">
        <f t="shared" si="2"/>
        <v>9.476544362333519E-3</v>
      </c>
      <c r="I9" s="4">
        <f t="shared" si="3"/>
        <v>8.9804893051275206E-5</v>
      </c>
      <c r="K9" s="1">
        <v>7</v>
      </c>
      <c r="L9" s="4">
        <v>-28.457999999999998</v>
      </c>
      <c r="M9" s="4">
        <f t="shared" si="4"/>
        <v>3.7765914014526614E-2</v>
      </c>
      <c r="N9" s="4">
        <f t="shared" si="5"/>
        <v>1.4262642613526177E-3</v>
      </c>
    </row>
    <row r="10" spans="1:14" x14ac:dyDescent="0.45">
      <c r="A10" s="1">
        <v>8</v>
      </c>
      <c r="B10" s="4">
        <v>-72.430000000000007</v>
      </c>
      <c r="C10" s="4">
        <f t="shared" si="0"/>
        <v>2.390561935344627E-4</v>
      </c>
      <c r="D10" s="4">
        <f t="shared" si="1"/>
        <v>5.7147863667186487E-8</v>
      </c>
      <c r="F10" s="1">
        <v>8</v>
      </c>
      <c r="G10" s="4">
        <v>-54.741</v>
      </c>
      <c r="H10" s="4">
        <f t="shared" si="2"/>
        <v>1.832103481520444E-3</v>
      </c>
      <c r="I10" s="4">
        <f t="shared" si="3"/>
        <v>3.356603166999332E-6</v>
      </c>
      <c r="K10" s="1">
        <v>8</v>
      </c>
      <c r="L10" s="4">
        <v>-42.939</v>
      </c>
      <c r="M10" s="4">
        <f t="shared" si="4"/>
        <v>7.1293510508907637E-3</v>
      </c>
      <c r="N10" s="4">
        <f t="shared" si="5"/>
        <v>5.0827646406837236E-5</v>
      </c>
    </row>
    <row r="11" spans="1:14" x14ac:dyDescent="0.45">
      <c r="A11" s="1" t="s">
        <v>5</v>
      </c>
      <c r="B11" s="4">
        <f>SQRT(SUM(D4:D10)/D3)</f>
        <v>0.17718969192346887</v>
      </c>
      <c r="C11" s="4"/>
      <c r="D11" s="4"/>
      <c r="F11" s="1" t="s">
        <v>5</v>
      </c>
      <c r="G11" s="4">
        <f>SQRT(SUM(I4:I10)/I3)</f>
        <v>0.17632385341420792</v>
      </c>
      <c r="H11" s="4"/>
      <c r="I11" s="4"/>
      <c r="K11" s="1" t="s">
        <v>5</v>
      </c>
      <c r="L11" s="4">
        <f>SQRT(SUM(N4:N10)/N3)</f>
        <v>0.20250672318576254</v>
      </c>
      <c r="M11" s="4"/>
      <c r="N11" s="4"/>
    </row>
    <row r="12" spans="1:14" x14ac:dyDescent="0.45">
      <c r="A12" s="2" t="s">
        <v>6</v>
      </c>
      <c r="B12" s="5">
        <f>B11*100</f>
        <v>17.718969192346886</v>
      </c>
      <c r="C12" s="4"/>
      <c r="D12" s="4"/>
      <c r="F12" s="2" t="s">
        <v>6</v>
      </c>
      <c r="G12" s="5">
        <f>G11*100</f>
        <v>17.632385341420793</v>
      </c>
      <c r="H12" s="4"/>
      <c r="I12" s="4"/>
      <c r="K12" s="2" t="s">
        <v>6</v>
      </c>
      <c r="L12" s="5">
        <f>L11*100</f>
        <v>20.250672318576253</v>
      </c>
      <c r="M12" s="4"/>
      <c r="N12" s="4"/>
    </row>
    <row r="13" spans="1:14" x14ac:dyDescent="0.45">
      <c r="A13" s="1" t="s">
        <v>7</v>
      </c>
      <c r="B13" s="4">
        <v>2.85</v>
      </c>
      <c r="C13" s="4"/>
      <c r="D13" s="4"/>
      <c r="F13" s="1" t="s">
        <v>7</v>
      </c>
      <c r="G13" s="4">
        <v>101.25</v>
      </c>
      <c r="H13" s="4"/>
      <c r="I13" s="4"/>
      <c r="K13" s="1" t="s">
        <v>7</v>
      </c>
      <c r="L13" s="4">
        <v>195.31299999999999</v>
      </c>
      <c r="M13" s="4"/>
      <c r="N13" s="4"/>
    </row>
    <row r="14" spans="1:14" x14ac:dyDescent="0.45">
      <c r="A14" s="1" t="s">
        <v>8</v>
      </c>
      <c r="B14" s="4">
        <v>68.754000000000005</v>
      </c>
      <c r="C14" s="4"/>
      <c r="D14" s="4"/>
      <c r="F14" s="1" t="s">
        <v>8</v>
      </c>
      <c r="G14" s="4">
        <v>429.71800000000002</v>
      </c>
      <c r="H14" s="4"/>
      <c r="I14" s="4"/>
      <c r="K14" s="1" t="s">
        <v>8</v>
      </c>
      <c r="L14" s="4">
        <v>596.83100000000002</v>
      </c>
      <c r="M14" s="4"/>
      <c r="N14" s="4"/>
    </row>
    <row r="15" spans="1:14" x14ac:dyDescent="0.45">
      <c r="A15" s="2" t="s">
        <v>9</v>
      </c>
      <c r="B15" s="5">
        <f>(B13/B14)*100</f>
        <v>4.1452133694039617</v>
      </c>
      <c r="C15" s="4"/>
      <c r="D15" s="4"/>
      <c r="F15" s="2" t="s">
        <v>9</v>
      </c>
      <c r="G15" s="5">
        <f>(G13/G14)*100</f>
        <v>23.561963892599334</v>
      </c>
      <c r="H15" s="4"/>
      <c r="I15" s="4"/>
      <c r="K15" s="2" t="s">
        <v>9</v>
      </c>
      <c r="L15" s="5">
        <f>(L13/L14)*100</f>
        <v>32.725009257226915</v>
      </c>
      <c r="M15" s="4"/>
      <c r="N15" s="4"/>
    </row>
  </sheetData>
  <mergeCells count="3">
    <mergeCell ref="A1:D1"/>
    <mergeCell ref="F1:I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SZC</vt:lpstr>
      <vt:lpstr>B</vt:lpstr>
      <vt:lpstr>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Majer</dc:creator>
  <cp:lastModifiedBy>Nikola Majer</cp:lastModifiedBy>
  <dcterms:created xsi:type="dcterms:W3CDTF">2026-06-22T15:49:18Z</dcterms:created>
  <dcterms:modified xsi:type="dcterms:W3CDTF">2026-06-24T19:48:58Z</dcterms:modified>
</cp:coreProperties>
</file>