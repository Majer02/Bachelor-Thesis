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23341E057C2D1B5/Documents/2526 - LJETNI SEMESTAR/ZAVRŠNI RAD 2026/EXCEL FILEOVI/"/>
    </mc:Choice>
  </mc:AlternateContent>
  <xr:revisionPtr revIDLastSave="1402" documentId="8_{749E225B-507B-4645-922D-F24EE2B83FE2}" xr6:coauthVersionLast="47" xr6:coauthVersionMax="47" xr10:uidLastSave="{1F6582BD-CA3B-40DA-954D-316EB031F865}"/>
  <bookViews>
    <workbookView xWindow="-98" yWindow="-98" windowWidth="21795" windowHeight="12975" xr2:uid="{5A5A50C3-7C6B-466F-847F-D23E3D13151B}"/>
  </bookViews>
  <sheets>
    <sheet name="SZE SIM 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4" i="1" l="1"/>
  <c r="X74" i="1" s="1"/>
  <c r="R74" i="1"/>
  <c r="S74" i="1" s="1"/>
  <c r="M74" i="1"/>
  <c r="N74" i="1" s="1"/>
  <c r="H74" i="1"/>
  <c r="I74" i="1" s="1"/>
  <c r="C74" i="1"/>
  <c r="D74" i="1" s="1"/>
  <c r="W73" i="1"/>
  <c r="X73" i="1" s="1"/>
  <c r="R73" i="1"/>
  <c r="S73" i="1" s="1"/>
  <c r="M73" i="1"/>
  <c r="N73" i="1" s="1"/>
  <c r="H73" i="1"/>
  <c r="I73" i="1" s="1"/>
  <c r="C73" i="1"/>
  <c r="D73" i="1" s="1"/>
  <c r="W72" i="1"/>
  <c r="X72" i="1" s="1"/>
  <c r="R72" i="1"/>
  <c r="S72" i="1" s="1"/>
  <c r="M72" i="1"/>
  <c r="N72" i="1" s="1"/>
  <c r="H72" i="1"/>
  <c r="I72" i="1" s="1"/>
  <c r="C72" i="1"/>
  <c r="D72" i="1" s="1"/>
  <c r="W71" i="1"/>
  <c r="X71" i="1" s="1"/>
  <c r="R71" i="1"/>
  <c r="S71" i="1" s="1"/>
  <c r="M71" i="1"/>
  <c r="N71" i="1" s="1"/>
  <c r="H71" i="1"/>
  <c r="I71" i="1" s="1"/>
  <c r="C71" i="1"/>
  <c r="D71" i="1" s="1"/>
  <c r="W70" i="1"/>
  <c r="X70" i="1" s="1"/>
  <c r="R70" i="1"/>
  <c r="S70" i="1" s="1"/>
  <c r="M70" i="1"/>
  <c r="N70" i="1" s="1"/>
  <c r="H70" i="1"/>
  <c r="I70" i="1" s="1"/>
  <c r="C70" i="1"/>
  <c r="D70" i="1" s="1"/>
  <c r="W69" i="1"/>
  <c r="X69" i="1" s="1"/>
  <c r="R69" i="1"/>
  <c r="S69" i="1" s="1"/>
  <c r="M69" i="1"/>
  <c r="N69" i="1" s="1"/>
  <c r="H69" i="1"/>
  <c r="I69" i="1" s="1"/>
  <c r="C69" i="1"/>
  <c r="D69" i="1" s="1"/>
  <c r="W68" i="1"/>
  <c r="X68" i="1" s="1"/>
  <c r="R68" i="1"/>
  <c r="S68" i="1" s="1"/>
  <c r="M68" i="1"/>
  <c r="N68" i="1" s="1"/>
  <c r="H68" i="1"/>
  <c r="I68" i="1" s="1"/>
  <c r="C68" i="1"/>
  <c r="D68" i="1" s="1"/>
  <c r="W67" i="1"/>
  <c r="X67" i="1" s="1"/>
  <c r="R67" i="1"/>
  <c r="S67" i="1" s="1"/>
  <c r="M67" i="1"/>
  <c r="N67" i="1" s="1"/>
  <c r="H67" i="1"/>
  <c r="I67" i="1" s="1"/>
  <c r="C67" i="1"/>
  <c r="D67" i="1" s="1"/>
  <c r="W58" i="1"/>
  <c r="X58" i="1" s="1"/>
  <c r="R58" i="1"/>
  <c r="S58" i="1" s="1"/>
  <c r="M58" i="1"/>
  <c r="N58" i="1" s="1"/>
  <c r="H58" i="1"/>
  <c r="I58" i="1" s="1"/>
  <c r="C58" i="1"/>
  <c r="D58" i="1" s="1"/>
  <c r="W57" i="1"/>
  <c r="X57" i="1" s="1"/>
  <c r="R57" i="1"/>
  <c r="S57" i="1" s="1"/>
  <c r="M57" i="1"/>
  <c r="N57" i="1" s="1"/>
  <c r="H57" i="1"/>
  <c r="I57" i="1" s="1"/>
  <c r="C57" i="1"/>
  <c r="D57" i="1" s="1"/>
  <c r="W56" i="1"/>
  <c r="X56" i="1" s="1"/>
  <c r="R56" i="1"/>
  <c r="S56" i="1" s="1"/>
  <c r="M56" i="1"/>
  <c r="N56" i="1" s="1"/>
  <c r="H56" i="1"/>
  <c r="I56" i="1" s="1"/>
  <c r="C56" i="1"/>
  <c r="D56" i="1" s="1"/>
  <c r="W55" i="1"/>
  <c r="X55" i="1" s="1"/>
  <c r="R55" i="1"/>
  <c r="S55" i="1" s="1"/>
  <c r="M55" i="1"/>
  <c r="N55" i="1" s="1"/>
  <c r="H55" i="1"/>
  <c r="I55" i="1" s="1"/>
  <c r="C55" i="1"/>
  <c r="D55" i="1" s="1"/>
  <c r="W54" i="1"/>
  <c r="X54" i="1" s="1"/>
  <c r="R54" i="1"/>
  <c r="S54" i="1" s="1"/>
  <c r="M54" i="1"/>
  <c r="N54" i="1" s="1"/>
  <c r="H54" i="1"/>
  <c r="I54" i="1" s="1"/>
  <c r="C54" i="1"/>
  <c r="D54" i="1" s="1"/>
  <c r="W53" i="1"/>
  <c r="X53" i="1" s="1"/>
  <c r="R53" i="1"/>
  <c r="S53" i="1" s="1"/>
  <c r="M53" i="1"/>
  <c r="N53" i="1" s="1"/>
  <c r="H53" i="1"/>
  <c r="I53" i="1" s="1"/>
  <c r="C53" i="1"/>
  <c r="D53" i="1" s="1"/>
  <c r="W52" i="1"/>
  <c r="X52" i="1" s="1"/>
  <c r="R52" i="1"/>
  <c r="S52" i="1" s="1"/>
  <c r="M52" i="1"/>
  <c r="N52" i="1" s="1"/>
  <c r="H52" i="1"/>
  <c r="I52" i="1" s="1"/>
  <c r="C52" i="1"/>
  <c r="D52" i="1" s="1"/>
  <c r="W51" i="1"/>
  <c r="X51" i="1" s="1"/>
  <c r="R51" i="1"/>
  <c r="S51" i="1" s="1"/>
  <c r="M51" i="1"/>
  <c r="N51" i="1" s="1"/>
  <c r="H51" i="1"/>
  <c r="I51" i="1" s="1"/>
  <c r="C51" i="1"/>
  <c r="D51" i="1" s="1"/>
  <c r="W42" i="1"/>
  <c r="X42" i="1" s="1"/>
  <c r="R42" i="1"/>
  <c r="S42" i="1" s="1"/>
  <c r="M42" i="1"/>
  <c r="N42" i="1" s="1"/>
  <c r="H42" i="1"/>
  <c r="I42" i="1" s="1"/>
  <c r="C42" i="1"/>
  <c r="D42" i="1" s="1"/>
  <c r="W41" i="1"/>
  <c r="X41" i="1" s="1"/>
  <c r="R41" i="1"/>
  <c r="S41" i="1" s="1"/>
  <c r="M41" i="1"/>
  <c r="N41" i="1" s="1"/>
  <c r="H41" i="1"/>
  <c r="I41" i="1" s="1"/>
  <c r="C41" i="1"/>
  <c r="D41" i="1" s="1"/>
  <c r="W40" i="1"/>
  <c r="X40" i="1" s="1"/>
  <c r="R40" i="1"/>
  <c r="S40" i="1" s="1"/>
  <c r="M40" i="1"/>
  <c r="N40" i="1" s="1"/>
  <c r="H40" i="1"/>
  <c r="I40" i="1" s="1"/>
  <c r="C40" i="1"/>
  <c r="D40" i="1" s="1"/>
  <c r="W39" i="1"/>
  <c r="X39" i="1" s="1"/>
  <c r="R39" i="1"/>
  <c r="S39" i="1" s="1"/>
  <c r="M39" i="1"/>
  <c r="N39" i="1" s="1"/>
  <c r="H39" i="1"/>
  <c r="I39" i="1" s="1"/>
  <c r="C39" i="1"/>
  <c r="D39" i="1" s="1"/>
  <c r="W38" i="1"/>
  <c r="X38" i="1" s="1"/>
  <c r="R38" i="1"/>
  <c r="S38" i="1" s="1"/>
  <c r="M38" i="1"/>
  <c r="N38" i="1" s="1"/>
  <c r="H38" i="1"/>
  <c r="I38" i="1" s="1"/>
  <c r="C38" i="1"/>
  <c r="D38" i="1" s="1"/>
  <c r="W37" i="1"/>
  <c r="X37" i="1" s="1"/>
  <c r="R37" i="1"/>
  <c r="S37" i="1" s="1"/>
  <c r="M37" i="1"/>
  <c r="N37" i="1" s="1"/>
  <c r="H37" i="1"/>
  <c r="I37" i="1" s="1"/>
  <c r="C37" i="1"/>
  <c r="D37" i="1" s="1"/>
  <c r="W36" i="1"/>
  <c r="X36" i="1" s="1"/>
  <c r="R36" i="1"/>
  <c r="S36" i="1" s="1"/>
  <c r="M36" i="1"/>
  <c r="N36" i="1" s="1"/>
  <c r="H36" i="1"/>
  <c r="I36" i="1" s="1"/>
  <c r="C36" i="1"/>
  <c r="D36" i="1" s="1"/>
  <c r="W35" i="1"/>
  <c r="X35" i="1" s="1"/>
  <c r="R35" i="1"/>
  <c r="S35" i="1" s="1"/>
  <c r="M35" i="1"/>
  <c r="N35" i="1" s="1"/>
  <c r="H35" i="1"/>
  <c r="I35" i="1" s="1"/>
  <c r="C35" i="1"/>
  <c r="D35" i="1" s="1"/>
  <c r="W26" i="1"/>
  <c r="X26" i="1" s="1"/>
  <c r="R26" i="1"/>
  <c r="S26" i="1" s="1"/>
  <c r="M26" i="1"/>
  <c r="N26" i="1" s="1"/>
  <c r="H26" i="1"/>
  <c r="I26" i="1" s="1"/>
  <c r="C26" i="1"/>
  <c r="D26" i="1" s="1"/>
  <c r="W25" i="1"/>
  <c r="X25" i="1" s="1"/>
  <c r="R25" i="1"/>
  <c r="S25" i="1" s="1"/>
  <c r="M25" i="1"/>
  <c r="N25" i="1" s="1"/>
  <c r="H25" i="1"/>
  <c r="I25" i="1" s="1"/>
  <c r="C25" i="1"/>
  <c r="D25" i="1" s="1"/>
  <c r="W24" i="1"/>
  <c r="X24" i="1" s="1"/>
  <c r="R24" i="1"/>
  <c r="S24" i="1" s="1"/>
  <c r="M24" i="1"/>
  <c r="N24" i="1" s="1"/>
  <c r="H24" i="1"/>
  <c r="I24" i="1" s="1"/>
  <c r="C24" i="1"/>
  <c r="D24" i="1" s="1"/>
  <c r="W23" i="1"/>
  <c r="X23" i="1" s="1"/>
  <c r="R23" i="1"/>
  <c r="S23" i="1" s="1"/>
  <c r="M23" i="1"/>
  <c r="N23" i="1" s="1"/>
  <c r="H23" i="1"/>
  <c r="I23" i="1" s="1"/>
  <c r="C23" i="1"/>
  <c r="D23" i="1" s="1"/>
  <c r="W22" i="1"/>
  <c r="X22" i="1" s="1"/>
  <c r="R22" i="1"/>
  <c r="S22" i="1" s="1"/>
  <c r="M22" i="1"/>
  <c r="N22" i="1" s="1"/>
  <c r="H22" i="1"/>
  <c r="I22" i="1" s="1"/>
  <c r="C22" i="1"/>
  <c r="D22" i="1" s="1"/>
  <c r="W21" i="1"/>
  <c r="X21" i="1" s="1"/>
  <c r="R21" i="1"/>
  <c r="S21" i="1" s="1"/>
  <c r="M21" i="1"/>
  <c r="N21" i="1" s="1"/>
  <c r="H21" i="1"/>
  <c r="I21" i="1" s="1"/>
  <c r="C21" i="1"/>
  <c r="D21" i="1" s="1"/>
  <c r="W20" i="1"/>
  <c r="X20" i="1" s="1"/>
  <c r="R20" i="1"/>
  <c r="S20" i="1" s="1"/>
  <c r="M20" i="1"/>
  <c r="N20" i="1" s="1"/>
  <c r="H20" i="1"/>
  <c r="I20" i="1" s="1"/>
  <c r="C20" i="1"/>
  <c r="D20" i="1" s="1"/>
  <c r="W19" i="1"/>
  <c r="X19" i="1" s="1"/>
  <c r="R19" i="1"/>
  <c r="S19" i="1" s="1"/>
  <c r="M19" i="1"/>
  <c r="N19" i="1" s="1"/>
  <c r="H19" i="1"/>
  <c r="I19" i="1" s="1"/>
  <c r="C19" i="1"/>
  <c r="D19" i="1" s="1"/>
  <c r="W10" i="1"/>
  <c r="X10" i="1" s="1"/>
  <c r="W9" i="1"/>
  <c r="X9" i="1" s="1"/>
  <c r="W8" i="1"/>
  <c r="X8" i="1" s="1"/>
  <c r="W7" i="1"/>
  <c r="X7" i="1" s="1"/>
  <c r="W6" i="1"/>
  <c r="X6" i="1" s="1"/>
  <c r="W5" i="1"/>
  <c r="X5" i="1" s="1"/>
  <c r="W4" i="1"/>
  <c r="X4" i="1" s="1"/>
  <c r="W3" i="1"/>
  <c r="X3" i="1" s="1"/>
  <c r="R10" i="1"/>
  <c r="S10" i="1" s="1"/>
  <c r="R9" i="1"/>
  <c r="S9" i="1" s="1"/>
  <c r="R8" i="1"/>
  <c r="S8" i="1" s="1"/>
  <c r="R7" i="1"/>
  <c r="S7" i="1" s="1"/>
  <c r="R6" i="1"/>
  <c r="S6" i="1" s="1"/>
  <c r="R5" i="1"/>
  <c r="S5" i="1" s="1"/>
  <c r="R4" i="1"/>
  <c r="S4" i="1" s="1"/>
  <c r="R3" i="1"/>
  <c r="S3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3" i="1"/>
  <c r="D3" i="1" s="1"/>
  <c r="Q11" i="1" l="1"/>
  <c r="Q12" i="1" s="1"/>
  <c r="L11" i="1"/>
  <c r="G11" i="1"/>
  <c r="B11" i="1"/>
  <c r="B12" i="1" s="1"/>
  <c r="B43" i="1"/>
  <c r="B44" i="1" s="1"/>
  <c r="B75" i="1"/>
  <c r="B76" i="1" s="1"/>
  <c r="G43" i="1"/>
  <c r="G44" i="1" s="1"/>
  <c r="B27" i="1"/>
  <c r="B28" i="1" s="1"/>
  <c r="G75" i="1"/>
  <c r="G76" i="1" s="1"/>
  <c r="L75" i="1"/>
  <c r="L76" i="1" s="1"/>
  <c r="Q75" i="1"/>
  <c r="Q76" i="1" s="1"/>
  <c r="V75" i="1"/>
  <c r="V76" i="1" s="1"/>
  <c r="L59" i="1"/>
  <c r="L60" i="1" s="1"/>
  <c r="Q59" i="1"/>
  <c r="Q60" i="1" s="1"/>
  <c r="V59" i="1"/>
  <c r="V60" i="1" s="1"/>
  <c r="B59" i="1"/>
  <c r="B60" i="1" s="1"/>
  <c r="G59" i="1"/>
  <c r="G60" i="1" s="1"/>
  <c r="L43" i="1"/>
  <c r="L44" i="1" s="1"/>
  <c r="Q43" i="1"/>
  <c r="Q44" i="1" s="1"/>
  <c r="V43" i="1"/>
  <c r="V44" i="1" s="1"/>
  <c r="Q27" i="1"/>
  <c r="Q28" i="1" s="1"/>
  <c r="G27" i="1"/>
  <c r="G28" i="1" s="1"/>
  <c r="L27" i="1"/>
  <c r="L28" i="1" s="1"/>
  <c r="V27" i="1"/>
  <c r="V28" i="1" s="1"/>
  <c r="V11" i="1"/>
  <c r="V12" i="1" s="1"/>
  <c r="L12" i="1"/>
  <c r="G12" i="1"/>
</calcChain>
</file>

<file path=xl/sharedStrings.xml><?xml version="1.0" encoding="utf-8"?>
<sst xmlns="http://schemas.openxmlformats.org/spreadsheetml/2006/main" count="190" uniqueCount="34">
  <si>
    <t>Harmonik</t>
  </si>
  <si>
    <t>THD</t>
  </si>
  <si>
    <t>HD value</t>
  </si>
  <si>
    <t>HD [V]</t>
  </si>
  <si>
    <t>HD [dB]</t>
  </si>
  <si>
    <t>SZE / Re = 250 / Rt = 2200</t>
  </si>
  <si>
    <t>THD [%]</t>
  </si>
  <si>
    <t>SZE / Re = 500 / Rt = 2200</t>
  </si>
  <si>
    <t>SZE / Re = 1000 / Rt = 2200</t>
  </si>
  <si>
    <t>SZE / Re = 2000 / Rt = 2200</t>
  </si>
  <si>
    <t>SZE / Re = 3000 / Rt = 2200</t>
  </si>
  <si>
    <t>korisnost [%]</t>
  </si>
  <si>
    <t>Output Power [W]</t>
  </si>
  <si>
    <t>Input Power [W]</t>
  </si>
  <si>
    <t>SZE / Re = 250 / Rt = 550</t>
  </si>
  <si>
    <t>SZE / Re = 500 / Rt = 550</t>
  </si>
  <si>
    <t>SZE / Re = 1000 / Rt = 550</t>
  </si>
  <si>
    <t>SZE / Re = 2000 / Rt = 550</t>
  </si>
  <si>
    <t>SZE / Re = 3000 / Rt = 550</t>
  </si>
  <si>
    <t>SZE / Re = 3000 / Rt = 1100</t>
  </si>
  <si>
    <t>SZE / Re = 2000 / Rt = 1100</t>
  </si>
  <si>
    <t>SZE / Re = 1000 / Rt = 1100</t>
  </si>
  <si>
    <t>SZE / Re = 500 / Rt = 1100</t>
  </si>
  <si>
    <t>SZE / Re = 250 / Rt = 1100</t>
  </si>
  <si>
    <t>SZE / Re = 250 / Rt = 3300</t>
  </si>
  <si>
    <t>SZE / Re = 500 / Rt = 3300</t>
  </si>
  <si>
    <t>SZE / Re = 1000 / Rt = 3300</t>
  </si>
  <si>
    <t>SZE / Re = 2000 / Rt = 3300</t>
  </si>
  <si>
    <t>SZE / Re = 3000 / Rt = 3300</t>
  </si>
  <si>
    <t>SZE / Re = 3000 / Rt = 4400</t>
  </si>
  <si>
    <t>SZE / Re = 2000 / Rt = 4400</t>
  </si>
  <si>
    <t>SZE / Re = 1000 / Rt = 4400</t>
  </si>
  <si>
    <t>SZE / Re = 500 / Rt = 4400</t>
  </si>
  <si>
    <t>SZE / Re = 250 / Rt = 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</si>
</sst>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54C5-DE8F-4674-B282-5F9819316D0D}">
  <dimension ref="A1:X90"/>
  <sheetViews>
    <sheetView tabSelected="1" topLeftCell="D1" zoomScale="85" zoomScaleNormal="85" workbookViewId="0">
      <selection activeCell="R80" sqref="R80"/>
    </sheetView>
  </sheetViews>
  <sheetFormatPr defaultColWidth="13" defaultRowHeight="14.25" x14ac:dyDescent="0.45"/>
  <cols>
    <col min="1" max="1" width="13.86328125" bestFit="1" customWidth="1"/>
    <col min="2" max="2" width="15" bestFit="1" customWidth="1"/>
    <col min="3" max="3" width="14" bestFit="1" customWidth="1"/>
    <col min="4" max="4" width="17.59765625" bestFit="1" customWidth="1"/>
    <col min="5" max="7" width="8.73046875" bestFit="1" customWidth="1"/>
    <col min="8" max="8" width="10.265625" bestFit="1" customWidth="1"/>
    <col min="9" max="9" width="15" bestFit="1" customWidth="1"/>
    <col min="10" max="10" width="14" bestFit="1" customWidth="1"/>
    <col min="11" max="11" width="17.59765625" bestFit="1" customWidth="1"/>
    <col min="12" max="14" width="8.73046875" bestFit="1" customWidth="1"/>
    <col min="15" max="15" width="10.265625" bestFit="1" customWidth="1"/>
    <col min="16" max="16" width="15" bestFit="1" customWidth="1"/>
    <col min="17" max="17" width="14" bestFit="1" customWidth="1"/>
    <col min="18" max="18" width="17.59765625" bestFit="1" customWidth="1"/>
    <col min="19" max="21" width="8.73046875" bestFit="1" customWidth="1"/>
    <col min="22" max="22" width="10.265625" bestFit="1" customWidth="1"/>
    <col min="23" max="23" width="15" bestFit="1" customWidth="1"/>
    <col min="24" max="24" width="14" bestFit="1" customWidth="1"/>
    <col min="25" max="25" width="17.59765625" bestFit="1" customWidth="1"/>
    <col min="26" max="28" width="8.73046875" bestFit="1" customWidth="1"/>
    <col min="29" max="29" width="10.265625" bestFit="1" customWidth="1"/>
    <col min="30" max="30" width="15" bestFit="1" customWidth="1"/>
    <col min="31" max="31" width="14" bestFit="1" customWidth="1"/>
    <col min="32" max="32" width="17.59765625" bestFit="1" customWidth="1"/>
    <col min="33" max="35" width="8.73046875" bestFit="1" customWidth="1"/>
  </cols>
  <sheetData>
    <row r="1" spans="1:24" ht="14.25" customHeight="1" x14ac:dyDescent="0.45">
      <c r="A1" s="1" t="s">
        <v>5</v>
      </c>
      <c r="B1" s="1"/>
      <c r="C1" s="1"/>
      <c r="D1" s="1"/>
      <c r="F1" s="1" t="s">
        <v>7</v>
      </c>
      <c r="G1" s="1"/>
      <c r="H1" s="1"/>
      <c r="I1" s="1"/>
      <c r="K1" s="1" t="s">
        <v>8</v>
      </c>
      <c r="L1" s="1"/>
      <c r="M1" s="1"/>
      <c r="N1" s="1"/>
      <c r="P1" s="1" t="s">
        <v>9</v>
      </c>
      <c r="Q1" s="1"/>
      <c r="R1" s="1"/>
      <c r="S1" s="1"/>
      <c r="U1" s="1" t="s">
        <v>10</v>
      </c>
      <c r="V1" s="1"/>
      <c r="W1" s="1"/>
      <c r="X1" s="1"/>
    </row>
    <row r="2" spans="1:24" ht="14.25" customHeight="1" x14ac:dyDescent="0.45">
      <c r="A2" t="s">
        <v>0</v>
      </c>
      <c r="B2" t="s">
        <v>4</v>
      </c>
      <c r="C2" t="s">
        <v>3</v>
      </c>
      <c r="D2" t="s">
        <v>2</v>
      </c>
      <c r="F2" t="s">
        <v>0</v>
      </c>
      <c r="G2" t="s">
        <v>4</v>
      </c>
      <c r="H2" t="s">
        <v>3</v>
      </c>
      <c r="I2" t="s">
        <v>2</v>
      </c>
      <c r="K2" t="s">
        <v>0</v>
      </c>
      <c r="L2" t="s">
        <v>4</v>
      </c>
      <c r="M2" t="s">
        <v>3</v>
      </c>
      <c r="N2" t="s">
        <v>2</v>
      </c>
      <c r="P2" t="s">
        <v>0</v>
      </c>
      <c r="Q2" t="s">
        <v>4</v>
      </c>
      <c r="R2" t="s">
        <v>3</v>
      </c>
      <c r="S2" t="s">
        <v>2</v>
      </c>
      <c r="U2" t="s">
        <v>0</v>
      </c>
      <c r="V2" t="s">
        <v>4</v>
      </c>
      <c r="W2" t="s">
        <v>3</v>
      </c>
      <c r="X2" t="s">
        <v>2</v>
      </c>
    </row>
    <row r="3" spans="1:24" ht="14.25" customHeight="1" x14ac:dyDescent="0.45">
      <c r="A3">
        <v>1</v>
      </c>
      <c r="B3" s="2">
        <v>9.7472340000000006</v>
      </c>
      <c r="C3" s="2">
        <f>10^(B3/20)</f>
        <v>3.0715790727751315</v>
      </c>
      <c r="D3" s="2">
        <f>C3^2</f>
        <v>9.4345980003101371</v>
      </c>
      <c r="F3">
        <v>1</v>
      </c>
      <c r="G3" s="2">
        <v>8.9462379999999992</v>
      </c>
      <c r="H3" s="2">
        <f>10^(G3/20)</f>
        <v>2.8009922036538724</v>
      </c>
      <c r="I3" s="2">
        <f>H3^2</f>
        <v>7.8455573249297759</v>
      </c>
      <c r="K3">
        <v>1</v>
      </c>
      <c r="L3" s="2">
        <v>6.601788</v>
      </c>
      <c r="M3" s="2">
        <f>10^(L3/20)</f>
        <v>2.1384022366665874</v>
      </c>
      <c r="N3" s="2">
        <f>M3^2</f>
        <v>4.5727641257806635</v>
      </c>
      <c r="P3">
        <v>1</v>
      </c>
      <c r="Q3" s="2">
        <v>2.6878380000000002</v>
      </c>
      <c r="R3" s="2">
        <f>10^(Q3/20)</f>
        <v>1.362673781611937</v>
      </c>
      <c r="S3" s="2">
        <f>R3^2</f>
        <v>1.8568798350925768</v>
      </c>
      <c r="U3">
        <v>1</v>
      </c>
      <c r="V3" s="2">
        <v>-0.24507419999999999</v>
      </c>
      <c r="W3" s="2">
        <f>10^(V3/20)</f>
        <v>0.97217912163703113</v>
      </c>
      <c r="X3" s="2">
        <f>W3^2</f>
        <v>0.94513224454694933</v>
      </c>
    </row>
    <row r="4" spans="1:24" ht="14.25" customHeight="1" x14ac:dyDescent="0.45">
      <c r="A4">
        <v>2</v>
      </c>
      <c r="B4" s="2">
        <v>5.8321823999999998</v>
      </c>
      <c r="C4" s="2">
        <f t="shared" ref="C4:C10" si="0">10^(B4/20)</f>
        <v>1.9570824389506696</v>
      </c>
      <c r="D4" s="2">
        <f t="shared" ref="D4:D12" si="1">C4^2</f>
        <v>3.8301716728491013</v>
      </c>
      <c r="F4">
        <v>2</v>
      </c>
      <c r="G4" s="2">
        <v>1.93266</v>
      </c>
      <c r="H4" s="2">
        <f t="shared" ref="H4:H10" si="2">10^(G4/20)</f>
        <v>1.2492029466970178</v>
      </c>
      <c r="I4" s="2">
        <f t="shared" ref="I4:I10" si="3">H4^2</f>
        <v>1.5605080020365123</v>
      </c>
      <c r="K4">
        <v>2</v>
      </c>
      <c r="L4" s="2">
        <v>-5.7993300000000003</v>
      </c>
      <c r="M4" s="2">
        <f t="shared" ref="M4:M10" si="4">10^(L4/20)</f>
        <v>0.51290094590092872</v>
      </c>
      <c r="N4" s="2">
        <f t="shared" ref="N4:N12" si="5">M4^2</f>
        <v>0.26306738030606741</v>
      </c>
      <c r="P4">
        <v>2</v>
      </c>
      <c r="Q4" s="2">
        <v>-20.03003</v>
      </c>
      <c r="R4" s="2">
        <f t="shared" ref="R4:R10" si="6">10^(Q4/20)</f>
        <v>9.9654863817176587E-2</v>
      </c>
      <c r="S4" s="2">
        <f t="shared" ref="S4:S10" si="7">R4^2</f>
        <v>9.9310918824200116E-3</v>
      </c>
      <c r="U4">
        <v>2</v>
      </c>
      <c r="V4" s="2">
        <v>-37.879820000000002</v>
      </c>
      <c r="W4" s="2">
        <f t="shared" ref="W4:W10" si="8">10^(V4/20)</f>
        <v>1.2764652610661897E-2</v>
      </c>
      <c r="X4" s="2">
        <f t="shared" ref="X4:X12" si="9">W4^2</f>
        <v>1.629363562708776E-4</v>
      </c>
    </row>
    <row r="5" spans="1:24" ht="14.25" customHeight="1" x14ac:dyDescent="0.45">
      <c r="A5">
        <v>3</v>
      </c>
      <c r="B5" s="2">
        <v>-2.5565099999999998</v>
      </c>
      <c r="C5" s="2">
        <f t="shared" si="0"/>
        <v>0.74503126815571452</v>
      </c>
      <c r="D5" s="2">
        <f t="shared" si="1"/>
        <v>0.55507159052971222</v>
      </c>
      <c r="F5">
        <v>3</v>
      </c>
      <c r="G5" s="2">
        <v>-26.298290000000001</v>
      </c>
      <c r="H5" s="2">
        <f t="shared" si="2"/>
        <v>4.8426769647804124E-2</v>
      </c>
      <c r="I5" s="2">
        <f t="shared" si="3"/>
        <v>2.3451520185214826E-3</v>
      </c>
      <c r="K5">
        <v>3</v>
      </c>
      <c r="L5" s="2">
        <v>-14.659330000000001</v>
      </c>
      <c r="M5" s="2">
        <f t="shared" si="4"/>
        <v>0.18494112707747365</v>
      </c>
      <c r="N5" s="2">
        <f t="shared" si="5"/>
        <v>3.4203220484686256E-2</v>
      </c>
      <c r="P5">
        <v>3</v>
      </c>
      <c r="Q5" s="2">
        <v>-22.202839999999998</v>
      </c>
      <c r="R5" s="2">
        <f t="shared" si="6"/>
        <v>7.759933508619081E-2</v>
      </c>
      <c r="S5" s="2">
        <f t="shared" si="7"/>
        <v>6.021656805818924E-3</v>
      </c>
      <c r="U5">
        <v>3</v>
      </c>
      <c r="V5" s="2">
        <v>-34.638710000000003</v>
      </c>
      <c r="W5" s="2">
        <f t="shared" si="8"/>
        <v>1.8538069243291141E-2</v>
      </c>
      <c r="X5" s="2">
        <f t="shared" si="9"/>
        <v>3.43660011269057E-4</v>
      </c>
    </row>
    <row r="6" spans="1:24" ht="14.25" customHeight="1" x14ac:dyDescent="0.45">
      <c r="A6">
        <v>4</v>
      </c>
      <c r="B6" s="2">
        <v>-25.062999999999999</v>
      </c>
      <c r="C6" s="2">
        <f t="shared" si="0"/>
        <v>5.5827733927191446E-2</v>
      </c>
      <c r="D6" s="2">
        <f t="shared" si="1"/>
        <v>3.1167358754452829E-3</v>
      </c>
      <c r="F6">
        <v>4</v>
      </c>
      <c r="G6" s="2">
        <v>-11.9879</v>
      </c>
      <c r="H6" s="2">
        <f t="shared" si="2"/>
        <v>0.25153880884721458</v>
      </c>
      <c r="I6" s="2">
        <f t="shared" si="3"/>
        <v>6.3271772356275555E-2</v>
      </c>
      <c r="K6">
        <v>4</v>
      </c>
      <c r="L6" s="2">
        <v>-30.51709</v>
      </c>
      <c r="M6" s="2">
        <f t="shared" si="4"/>
        <v>2.979514477441499E-2</v>
      </c>
      <c r="N6" s="2">
        <f t="shared" si="5"/>
        <v>8.8775065212834891E-4</v>
      </c>
      <c r="P6">
        <v>4</v>
      </c>
      <c r="Q6" s="2">
        <v>-28.17287</v>
      </c>
      <c r="R6" s="2">
        <f t="shared" si="6"/>
        <v>3.9026221038674994E-2</v>
      </c>
      <c r="S6" s="2">
        <f t="shared" si="7"/>
        <v>1.5230459285595188E-3</v>
      </c>
      <c r="U6">
        <v>4</v>
      </c>
      <c r="V6" s="2">
        <v>-42.636589999999998</v>
      </c>
      <c r="W6" s="2">
        <f t="shared" si="8"/>
        <v>7.3819398138351153E-3</v>
      </c>
      <c r="X6" s="2">
        <f t="shared" si="9"/>
        <v>5.4493035415084014E-5</v>
      </c>
    </row>
    <row r="7" spans="1:24" ht="14.25" customHeight="1" x14ac:dyDescent="0.45">
      <c r="A7">
        <v>5</v>
      </c>
      <c r="B7" s="2">
        <v>-11.007</v>
      </c>
      <c r="C7" s="2">
        <f t="shared" si="0"/>
        <v>0.28161124979805008</v>
      </c>
      <c r="D7" s="2">
        <f t="shared" si="1"/>
        <v>7.9304896012819759E-2</v>
      </c>
      <c r="F7">
        <v>5</v>
      </c>
      <c r="G7" s="2">
        <v>-28.661259999999999</v>
      </c>
      <c r="H7" s="2">
        <f t="shared" si="2"/>
        <v>3.6892407750616203E-2</v>
      </c>
      <c r="I7" s="2">
        <f t="shared" si="3"/>
        <v>1.3610497496377265E-3</v>
      </c>
      <c r="K7">
        <v>5</v>
      </c>
      <c r="L7" s="2">
        <v>-23.499700000000001</v>
      </c>
      <c r="M7" s="2">
        <f t="shared" si="4"/>
        <v>6.6836700174838559E-2</v>
      </c>
      <c r="N7" s="2">
        <f t="shared" si="5"/>
        <v>4.4671444902612649E-3</v>
      </c>
      <c r="P7">
        <v>5</v>
      </c>
      <c r="Q7" s="2">
        <v>-33.332484000000001</v>
      </c>
      <c r="R7" s="2">
        <f t="shared" si="6"/>
        <v>2.1546453676641462E-2</v>
      </c>
      <c r="S7" s="2">
        <f t="shared" si="7"/>
        <v>4.6424966603965639E-4</v>
      </c>
      <c r="U7">
        <v>5</v>
      </c>
      <c r="V7" s="2">
        <v>-37.548200000000001</v>
      </c>
      <c r="W7" s="2">
        <f t="shared" si="8"/>
        <v>1.3261419091999134E-2</v>
      </c>
      <c r="X7" s="2">
        <f t="shared" si="9"/>
        <v>1.7586523633363914E-4</v>
      </c>
    </row>
    <row r="8" spans="1:24" ht="14.25" customHeight="1" x14ac:dyDescent="0.45">
      <c r="A8">
        <v>6</v>
      </c>
      <c r="B8" s="2">
        <v>-17.115110000000001</v>
      </c>
      <c r="C8" s="2">
        <f t="shared" si="0"/>
        <v>0.13939413460466141</v>
      </c>
      <c r="D8" s="2">
        <f t="shared" si="1"/>
        <v>1.9430724762182463E-2</v>
      </c>
      <c r="F8">
        <v>6</v>
      </c>
      <c r="G8" s="2">
        <v>-20.3627</v>
      </c>
      <c r="H8" s="2">
        <f t="shared" si="2"/>
        <v>9.5910244914821211E-2</v>
      </c>
      <c r="I8" s="2">
        <f t="shared" si="3"/>
        <v>9.1987750796209879E-3</v>
      </c>
      <c r="K8">
        <v>6</v>
      </c>
      <c r="L8" s="2">
        <v>-30.574729999999999</v>
      </c>
      <c r="M8" s="2">
        <f t="shared" si="4"/>
        <v>2.9598077294880985E-2</v>
      </c>
      <c r="N8" s="2">
        <f t="shared" si="5"/>
        <v>8.7604617955374926E-4</v>
      </c>
      <c r="P8">
        <v>6</v>
      </c>
      <c r="Q8" s="2">
        <v>-49.12724</v>
      </c>
      <c r="R8" s="2">
        <f t="shared" si="6"/>
        <v>3.4965359673634028E-3</v>
      </c>
      <c r="S8" s="2">
        <f t="shared" si="7"/>
        <v>1.2225763771065926E-5</v>
      </c>
      <c r="U8">
        <v>6</v>
      </c>
      <c r="V8" s="2">
        <v>-50.121259999999999</v>
      </c>
      <c r="W8" s="2">
        <f t="shared" si="8"/>
        <v>3.1184371818623381E-3</v>
      </c>
      <c r="X8" s="2">
        <f t="shared" si="9"/>
        <v>9.7246504572215207E-6</v>
      </c>
    </row>
    <row r="9" spans="1:24" ht="14.25" customHeight="1" x14ac:dyDescent="0.45">
      <c r="A9">
        <v>7</v>
      </c>
      <c r="B9" s="2">
        <v>-26.020900000000001</v>
      </c>
      <c r="C9" s="2">
        <f t="shared" si="0"/>
        <v>4.9998272591817702E-2</v>
      </c>
      <c r="D9" s="2">
        <f t="shared" si="1"/>
        <v>2.4998272621657093E-3</v>
      </c>
      <c r="F9">
        <v>7</v>
      </c>
      <c r="G9" s="2">
        <v>-36.463700000000003</v>
      </c>
      <c r="H9" s="2">
        <f t="shared" si="2"/>
        <v>1.5025017966763249E-2</v>
      </c>
      <c r="I9" s="2">
        <f t="shared" si="3"/>
        <v>2.2575116490155845E-4</v>
      </c>
      <c r="K9">
        <v>7</v>
      </c>
      <c r="L9" s="2">
        <v>-31.937999999999999</v>
      </c>
      <c r="M9" s="2">
        <f t="shared" si="4"/>
        <v>2.5298804558879277E-2</v>
      </c>
      <c r="N9" s="2">
        <f t="shared" si="5"/>
        <v>6.4002951210837087E-4</v>
      </c>
      <c r="P9">
        <v>7</v>
      </c>
      <c r="Q9" s="2">
        <v>-46.446350000000002</v>
      </c>
      <c r="R9" s="2">
        <f t="shared" si="6"/>
        <v>4.760828093251528E-3</v>
      </c>
      <c r="S9" s="2">
        <f t="shared" si="7"/>
        <v>2.266548413349298E-5</v>
      </c>
      <c r="U9">
        <v>7</v>
      </c>
      <c r="V9" s="2">
        <v>-41.249771000000003</v>
      </c>
      <c r="W9" s="2">
        <f t="shared" si="8"/>
        <v>8.659871544634358E-3</v>
      </c>
      <c r="X9" s="2">
        <f t="shared" si="9"/>
        <v>7.4993375169567862E-5</v>
      </c>
    </row>
    <row r="10" spans="1:24" ht="14.25" customHeight="1" x14ac:dyDescent="0.45">
      <c r="A10">
        <v>8</v>
      </c>
      <c r="B10" s="2">
        <v>-20.358229999999999</v>
      </c>
      <c r="C10" s="2">
        <f t="shared" si="0"/>
        <v>9.595961569281436E-2</v>
      </c>
      <c r="D10" s="2">
        <f t="shared" si="1"/>
        <v>9.2082478439126231E-3</v>
      </c>
      <c r="F10">
        <v>8</v>
      </c>
      <c r="G10" s="2">
        <v>-24.412800000000001</v>
      </c>
      <c r="H10" s="2">
        <f t="shared" si="2"/>
        <v>6.0167227540845261E-2</v>
      </c>
      <c r="I10" s="2">
        <f t="shared" si="3"/>
        <v>3.6200952699518485E-3</v>
      </c>
      <c r="K10">
        <v>8</v>
      </c>
      <c r="L10" s="2">
        <v>-33.131920000000001</v>
      </c>
      <c r="M10" s="2">
        <f t="shared" si="4"/>
        <v>2.2049766764618117E-2</v>
      </c>
      <c r="N10" s="2">
        <f t="shared" si="5"/>
        <v>4.8619221437405771E-4</v>
      </c>
      <c r="P10">
        <v>8</v>
      </c>
      <c r="Q10" s="2">
        <v>-37.78837</v>
      </c>
      <c r="R10" s="2">
        <f t="shared" si="6"/>
        <v>1.2899756128931869E-2</v>
      </c>
      <c r="S10" s="2">
        <f t="shared" si="7"/>
        <v>1.6640370818591532E-4</v>
      </c>
      <c r="U10">
        <v>8</v>
      </c>
      <c r="V10" s="2">
        <v>-68.736670000000004</v>
      </c>
      <c r="W10" s="2">
        <f t="shared" si="8"/>
        <v>3.657349803682403E-4</v>
      </c>
      <c r="X10" s="2">
        <f t="shared" si="9"/>
        <v>1.3376207586495713E-7</v>
      </c>
    </row>
    <row r="11" spans="1:24" ht="14.25" customHeight="1" x14ac:dyDescent="0.45">
      <c r="A11" t="s">
        <v>1</v>
      </c>
      <c r="B11" s="2">
        <f>SQRT(SUM(D4:D10)/D3)</f>
        <v>0.69053678997098566</v>
      </c>
      <c r="F11" t="s">
        <v>1</v>
      </c>
      <c r="G11" s="2">
        <f>SQRT(SUM(I4:I10)/I3)</f>
        <v>0.45727795766436541</v>
      </c>
      <c r="K11" t="s">
        <v>1</v>
      </c>
      <c r="L11" s="2">
        <f>SQRT(SUM(N4:N10)/N3)</f>
        <v>0.25810436021943967</v>
      </c>
      <c r="P11" t="s">
        <v>1</v>
      </c>
      <c r="Q11" s="2">
        <f>SQRT(SUM(S4:S10)/S3)</f>
        <v>9.8842283997892091E-2</v>
      </c>
      <c r="U11" t="s">
        <v>1</v>
      </c>
      <c r="V11" s="2">
        <f>SQRT(SUM(X4:X10)/X3)</f>
        <v>2.9487535496158849E-2</v>
      </c>
    </row>
    <row r="12" spans="1:24" ht="14.25" customHeight="1" x14ac:dyDescent="0.45">
      <c r="A12" t="s">
        <v>6</v>
      </c>
      <c r="B12" s="2">
        <f>B11*100</f>
        <v>69.053678997098572</v>
      </c>
      <c r="F12" t="s">
        <v>6</v>
      </c>
      <c r="G12" s="2">
        <f>G11*100</f>
        <v>45.727795766436543</v>
      </c>
      <c r="K12" t="s">
        <v>6</v>
      </c>
      <c r="L12" s="2">
        <f>L11*100</f>
        <v>25.810436021943968</v>
      </c>
      <c r="P12" t="s">
        <v>6</v>
      </c>
      <c r="Q12" s="2">
        <f>Q11*100</f>
        <v>9.88422839978921</v>
      </c>
      <c r="U12" t="s">
        <v>6</v>
      </c>
      <c r="V12" s="2">
        <f>V11*100</f>
        <v>2.9487535496158848</v>
      </c>
    </row>
    <row r="13" spans="1:24" ht="14.25" customHeight="1" x14ac:dyDescent="0.45">
      <c r="A13" t="s">
        <v>12</v>
      </c>
    </row>
    <row r="14" spans="1:24" ht="14.25" customHeight="1" x14ac:dyDescent="0.45">
      <c r="A14" t="s">
        <v>13</v>
      </c>
    </row>
    <row r="15" spans="1:24" ht="14.25" customHeight="1" x14ac:dyDescent="0.45">
      <c r="A15" t="s">
        <v>11</v>
      </c>
    </row>
    <row r="16" spans="1:24" ht="14.25" customHeight="1" x14ac:dyDescent="0.45"/>
    <row r="17" spans="1:24" ht="14.25" customHeight="1" x14ac:dyDescent="0.45">
      <c r="A17" s="1" t="s">
        <v>14</v>
      </c>
      <c r="B17" s="1"/>
      <c r="C17" s="1"/>
      <c r="D17" s="1"/>
      <c r="F17" s="1" t="s">
        <v>15</v>
      </c>
      <c r="G17" s="1"/>
      <c r="H17" s="1"/>
      <c r="I17" s="1"/>
      <c r="K17" s="1" t="s">
        <v>16</v>
      </c>
      <c r="L17" s="1"/>
      <c r="M17" s="1"/>
      <c r="N17" s="1"/>
      <c r="P17" s="1" t="s">
        <v>17</v>
      </c>
      <c r="Q17" s="1"/>
      <c r="R17" s="1"/>
      <c r="S17" s="1"/>
      <c r="U17" s="1" t="s">
        <v>18</v>
      </c>
      <c r="V17" s="1"/>
      <c r="W17" s="1"/>
      <c r="X17" s="1"/>
    </row>
    <row r="18" spans="1:24" ht="14.25" customHeight="1" x14ac:dyDescent="0.45">
      <c r="A18" t="s">
        <v>0</v>
      </c>
      <c r="B18" t="s">
        <v>4</v>
      </c>
      <c r="C18" t="s">
        <v>3</v>
      </c>
      <c r="D18" t="s">
        <v>2</v>
      </c>
      <c r="F18" t="s">
        <v>0</v>
      </c>
      <c r="G18" t="s">
        <v>4</v>
      </c>
      <c r="H18" t="s">
        <v>3</v>
      </c>
      <c r="I18" t="s">
        <v>2</v>
      </c>
      <c r="K18" t="s">
        <v>0</v>
      </c>
      <c r="L18" t="s">
        <v>4</v>
      </c>
      <c r="M18" t="s">
        <v>3</v>
      </c>
      <c r="N18" t="s">
        <v>2</v>
      </c>
      <c r="P18" t="s">
        <v>0</v>
      </c>
      <c r="Q18" t="s">
        <v>4</v>
      </c>
      <c r="R18" t="s">
        <v>3</v>
      </c>
      <c r="S18" t="s">
        <v>2</v>
      </c>
      <c r="U18" t="s">
        <v>0</v>
      </c>
      <c r="V18" t="s">
        <v>4</v>
      </c>
      <c r="W18" t="s">
        <v>3</v>
      </c>
      <c r="X18" t="s">
        <v>2</v>
      </c>
    </row>
    <row r="19" spans="1:24" ht="14.25" customHeight="1" x14ac:dyDescent="0.45">
      <c r="A19">
        <v>1</v>
      </c>
      <c r="B19" s="2">
        <v>6.7682770000000003</v>
      </c>
      <c r="C19" s="2">
        <f>10^(B19/20)</f>
        <v>2.1797859551571217</v>
      </c>
      <c r="D19" s="2">
        <f>C19^2</f>
        <v>4.7514668103002453</v>
      </c>
      <c r="F19">
        <v>1</v>
      </c>
      <c r="G19" s="2">
        <v>4.9325409999999996</v>
      </c>
      <c r="H19" s="2">
        <f>10^(G19/20)</f>
        <v>1.7645218882746261</v>
      </c>
      <c r="I19" s="2">
        <f>H19^2</f>
        <v>3.1135374942002518</v>
      </c>
      <c r="K19">
        <v>1</v>
      </c>
      <c r="L19" s="2">
        <v>1.7835570000000001</v>
      </c>
      <c r="M19" s="2">
        <f>10^(L19/20)</f>
        <v>1.2279419885753484</v>
      </c>
      <c r="N19" s="2">
        <f>M19^2</f>
        <v>1.5078415273063812</v>
      </c>
      <c r="P19">
        <v>1</v>
      </c>
      <c r="Q19" s="2">
        <v>-2.7031450000000001</v>
      </c>
      <c r="R19" s="2">
        <f>10^(Q19/20)</f>
        <v>0.73255923896036046</v>
      </c>
      <c r="S19" s="2">
        <f>R19^2</f>
        <v>0.53664303858618245</v>
      </c>
      <c r="U19">
        <v>1</v>
      </c>
      <c r="V19" s="2">
        <v>-5.8865530000000001</v>
      </c>
      <c r="W19" s="2">
        <f>10^(V19/20)</f>
        <v>0.50777621031291997</v>
      </c>
      <c r="X19" s="2">
        <f>W19^2</f>
        <v>0.25783667975975072</v>
      </c>
    </row>
    <row r="20" spans="1:24" ht="14.25" customHeight="1" x14ac:dyDescent="0.45">
      <c r="A20">
        <v>2</v>
      </c>
      <c r="B20" s="2">
        <v>1.5660780000000001</v>
      </c>
      <c r="C20" s="2">
        <f t="shared" ref="C20:C26" si="10">10^(B20/20)</f>
        <v>1.1975782502725438</v>
      </c>
      <c r="D20" s="2">
        <f t="shared" ref="D20:D26" si="11">C20^2</f>
        <v>1.4341936655258476</v>
      </c>
      <c r="F20">
        <v>2</v>
      </c>
      <c r="G20" s="2">
        <v>-3.9363000000000001</v>
      </c>
      <c r="H20" s="2">
        <f t="shared" ref="H20:H26" si="12">10^(G20/20)</f>
        <v>0.63560162665626685</v>
      </c>
      <c r="I20" s="2">
        <f t="shared" ref="I20:I26" si="13">H20^2</f>
        <v>0.40398942780809244</v>
      </c>
      <c r="K20">
        <v>2</v>
      </c>
      <c r="L20" s="2">
        <v>-13.43887</v>
      </c>
      <c r="M20" s="2">
        <f t="shared" ref="M20:M26" si="14">10^(L20/20)</f>
        <v>0.2128415926493088</v>
      </c>
      <c r="N20" s="2">
        <f t="shared" ref="N20:N26" si="15">M20^2</f>
        <v>4.5301543561494302E-2</v>
      </c>
      <c r="P20">
        <v>2</v>
      </c>
      <c r="Q20" s="2">
        <v>-30.990259999999999</v>
      </c>
      <c r="R20" s="2">
        <f t="shared" ref="R20:R26" si="16">10^(Q20/20)</f>
        <v>2.8215451228061027E-2</v>
      </c>
      <c r="S20" s="2">
        <f t="shared" ref="S20:S26" si="17">R20^2</f>
        <v>7.9611168800309054E-4</v>
      </c>
      <c r="U20">
        <v>2</v>
      </c>
      <c r="V20" s="2">
        <v>-65.969729999999998</v>
      </c>
      <c r="W20" s="2">
        <f t="shared" ref="W20:W26" si="18">10^(V20/20)</f>
        <v>5.0293689935005737E-4</v>
      </c>
      <c r="X20" s="2">
        <f t="shared" ref="X20:X26" si="19">W20^2</f>
        <v>2.5294552472784976E-7</v>
      </c>
    </row>
    <row r="21" spans="1:24" ht="14.25" customHeight="1" x14ac:dyDescent="0.45">
      <c r="A21">
        <v>3</v>
      </c>
      <c r="B21" s="2">
        <v>-11.415800000000001</v>
      </c>
      <c r="C21" s="2">
        <f t="shared" si="10"/>
        <v>0.26866432388032097</v>
      </c>
      <c r="D21" s="2">
        <f t="shared" si="11"/>
        <v>7.2180518926069998E-2</v>
      </c>
      <c r="F21">
        <v>3</v>
      </c>
      <c r="G21" s="2">
        <v>-22.321069999999999</v>
      </c>
      <c r="H21" s="2">
        <f t="shared" si="12"/>
        <v>7.6550230017373253E-2</v>
      </c>
      <c r="I21" s="2">
        <f t="shared" si="13"/>
        <v>5.8599377157127529E-3</v>
      </c>
      <c r="K21">
        <v>3</v>
      </c>
      <c r="L21" s="2">
        <v>-19.567900000000002</v>
      </c>
      <c r="M21" s="2">
        <f t="shared" si="14"/>
        <v>0.10510055272648611</v>
      </c>
      <c r="N21" s="2">
        <f t="shared" si="15"/>
        <v>1.1046126183412887E-2</v>
      </c>
      <c r="P21">
        <v>3</v>
      </c>
      <c r="Q21" s="2">
        <v>-32.109788000000002</v>
      </c>
      <c r="R21" s="2">
        <f t="shared" si="16"/>
        <v>2.4803364755235858E-2</v>
      </c>
      <c r="S21" s="2">
        <f t="shared" si="17"/>
        <v>6.1520690318127638E-4</v>
      </c>
      <c r="U21">
        <v>3</v>
      </c>
      <c r="V21" s="2">
        <v>-50.223329999999997</v>
      </c>
      <c r="W21" s="2">
        <f t="shared" si="18"/>
        <v>3.0820061429196353E-3</v>
      </c>
      <c r="X21" s="2">
        <f t="shared" si="19"/>
        <v>9.4987618649943669E-6</v>
      </c>
    </row>
    <row r="22" spans="1:24" ht="14.25" customHeight="1" x14ac:dyDescent="0.45">
      <c r="A22">
        <v>4</v>
      </c>
      <c r="B22" s="2">
        <v>-15.617190000000001</v>
      </c>
      <c r="C22" s="2">
        <f t="shared" si="10"/>
        <v>0.16563057135745332</v>
      </c>
      <c r="D22" s="2">
        <f t="shared" si="11"/>
        <v>2.7433486168196436E-2</v>
      </c>
      <c r="F22">
        <v>4</v>
      </c>
      <c r="G22" s="2">
        <v>-18.847539999999999</v>
      </c>
      <c r="H22" s="2">
        <f t="shared" si="12"/>
        <v>0.11418866616446387</v>
      </c>
      <c r="I22" s="2">
        <f t="shared" si="13"/>
        <v>1.3039051480419376E-2</v>
      </c>
      <c r="K22">
        <v>4</v>
      </c>
      <c r="L22" s="2">
        <v>-34.189619999999998</v>
      </c>
      <c r="M22" s="2">
        <f t="shared" si="14"/>
        <v>1.952176138156932E-2</v>
      </c>
      <c r="N22" s="2">
        <f t="shared" si="15"/>
        <v>3.810991674389313E-4</v>
      </c>
      <c r="P22">
        <v>4</v>
      </c>
      <c r="Q22" s="2">
        <v>-36.027729999999998</v>
      </c>
      <c r="R22" s="2">
        <f t="shared" si="16"/>
        <v>1.5798414349361647E-2</v>
      </c>
      <c r="S22" s="2">
        <f t="shared" si="17"/>
        <v>2.49589895954116E-4</v>
      </c>
      <c r="U22">
        <v>4</v>
      </c>
      <c r="V22" s="2">
        <v>-61.591799999999999</v>
      </c>
      <c r="W22" s="2">
        <f t="shared" si="18"/>
        <v>8.3254937668637862E-4</v>
      </c>
      <c r="X22" s="2">
        <f t="shared" si="19"/>
        <v>6.9313846462087754E-7</v>
      </c>
    </row>
    <row r="23" spans="1:24" ht="14.25" customHeight="1" x14ac:dyDescent="0.45">
      <c r="A23">
        <v>5</v>
      </c>
      <c r="B23" s="2">
        <v>-17.219830000000002</v>
      </c>
      <c r="C23" s="2">
        <f t="shared" si="10"/>
        <v>0.13772364238646667</v>
      </c>
      <c r="D23" s="2">
        <f t="shared" si="11"/>
        <v>1.8967801672195358E-2</v>
      </c>
      <c r="F23">
        <v>5</v>
      </c>
      <c r="G23" s="2">
        <v>-27.135739999999998</v>
      </c>
      <c r="H23" s="2">
        <f t="shared" si="12"/>
        <v>4.3975724177045733E-2</v>
      </c>
      <c r="I23" s="2">
        <f t="shared" si="13"/>
        <v>1.9338643168956046E-3</v>
      </c>
      <c r="K23">
        <v>5</v>
      </c>
      <c r="L23" s="2">
        <v>-33.874360000000003</v>
      </c>
      <c r="M23" s="2">
        <f t="shared" si="14"/>
        <v>2.0243332102641398E-2</v>
      </c>
      <c r="N23" s="2">
        <f t="shared" si="15"/>
        <v>4.097924946178318E-4</v>
      </c>
      <c r="P23">
        <v>5</v>
      </c>
      <c r="Q23" s="2">
        <v>-38.085560000000001</v>
      </c>
      <c r="R23" s="2">
        <f t="shared" si="16"/>
        <v>1.246585296288831E-2</v>
      </c>
      <c r="S23" s="2">
        <f t="shared" si="17"/>
        <v>1.5539749009235127E-4</v>
      </c>
      <c r="U23">
        <v>5</v>
      </c>
      <c r="V23" s="2">
        <v>-52.544119999999999</v>
      </c>
      <c r="W23" s="2">
        <f t="shared" si="18"/>
        <v>2.35935884707182E-3</v>
      </c>
      <c r="X23" s="2">
        <f t="shared" si="19"/>
        <v>5.5665741692560674E-6</v>
      </c>
    </row>
    <row r="24" spans="1:24" ht="14.25" customHeight="1" x14ac:dyDescent="0.45">
      <c r="A24">
        <v>6</v>
      </c>
      <c r="B24" s="2">
        <v>-31.648599999999998</v>
      </c>
      <c r="C24" s="2">
        <f t="shared" si="10"/>
        <v>2.6155919977842376E-2</v>
      </c>
      <c r="D24" s="2">
        <f t="shared" si="11"/>
        <v>6.8413214988729393E-4</v>
      </c>
      <c r="F24">
        <v>6</v>
      </c>
      <c r="G24" s="2">
        <v>-27.937919999999998</v>
      </c>
      <c r="H24" s="2">
        <f t="shared" si="12"/>
        <v>4.0096272421387906E-2</v>
      </c>
      <c r="I24" s="2">
        <f t="shared" si="13"/>
        <v>1.6077110620901524E-3</v>
      </c>
      <c r="K24">
        <v>6</v>
      </c>
      <c r="L24" s="2">
        <v>-32.442239999999998</v>
      </c>
      <c r="M24" s="2">
        <f t="shared" si="14"/>
        <v>2.3871955707789751E-2</v>
      </c>
      <c r="N24" s="2">
        <f t="shared" si="15"/>
        <v>5.6987026931467569E-4</v>
      </c>
      <c r="P24">
        <v>6</v>
      </c>
      <c r="Q24" s="2">
        <v>-46.484569999999998</v>
      </c>
      <c r="R24" s="2">
        <f t="shared" si="16"/>
        <v>4.7399253288239298E-3</v>
      </c>
      <c r="S24" s="2">
        <f t="shared" si="17"/>
        <v>2.246689212282664E-5</v>
      </c>
      <c r="U24">
        <v>6</v>
      </c>
      <c r="V24" s="2">
        <v>-59.123550000000002</v>
      </c>
      <c r="W24" s="2">
        <f>10^(V24/20)</f>
        <v>1.1061715894533477E-3</v>
      </c>
      <c r="X24" s="2">
        <f t="shared" si="19"/>
        <v>1.2236155853137456E-6</v>
      </c>
    </row>
    <row r="25" spans="1:24" ht="14.25" customHeight="1" x14ac:dyDescent="0.45">
      <c r="A25">
        <v>7</v>
      </c>
      <c r="B25" s="2">
        <v>-22.412500000000001</v>
      </c>
      <c r="C25" s="2">
        <f t="shared" si="10"/>
        <v>7.5748667929495014E-2</v>
      </c>
      <c r="D25" s="2">
        <f t="shared" si="11"/>
        <v>5.7378606930929069E-3</v>
      </c>
      <c r="F25">
        <v>7</v>
      </c>
      <c r="G25" s="2">
        <v>-30.596316000000002</v>
      </c>
      <c r="H25" s="2">
        <f t="shared" si="12"/>
        <v>2.9524612067430886E-2</v>
      </c>
      <c r="I25" s="2">
        <f t="shared" si="13"/>
        <v>8.7170271773228552E-4</v>
      </c>
      <c r="K25">
        <v>7</v>
      </c>
      <c r="L25" s="2">
        <v>-43.529693000000002</v>
      </c>
      <c r="M25" s="2">
        <f t="shared" si="14"/>
        <v>6.6606306266898362E-3</v>
      </c>
      <c r="N25" s="2">
        <f t="shared" si="15"/>
        <v>4.4364000345198639E-5</v>
      </c>
      <c r="P25">
        <v>7</v>
      </c>
      <c r="Q25" s="2">
        <v>-49.811889999999998</v>
      </c>
      <c r="R25" s="2">
        <f t="shared" si="16"/>
        <v>3.2315099687674985E-3</v>
      </c>
      <c r="S25" s="2">
        <f t="shared" si="17"/>
        <v>1.044265667824372E-5</v>
      </c>
      <c r="U25">
        <v>7</v>
      </c>
      <c r="V25" s="2">
        <v>-54.15334</v>
      </c>
      <c r="W25" s="2">
        <f>10^(V25/20)</f>
        <v>1.9603472148566931E-3</v>
      </c>
      <c r="X25" s="2">
        <f t="shared" si="19"/>
        <v>3.8429612027963939E-6</v>
      </c>
    </row>
    <row r="26" spans="1:24" ht="14.25" customHeight="1" x14ac:dyDescent="0.45">
      <c r="A26">
        <v>8</v>
      </c>
      <c r="B26" s="2">
        <v>-39.467100000000002</v>
      </c>
      <c r="C26" s="2">
        <f t="shared" si="10"/>
        <v>1.0632735242956418E-2</v>
      </c>
      <c r="D26" s="2">
        <f t="shared" si="11"/>
        <v>1.1305505874680748E-4</v>
      </c>
      <c r="F26">
        <v>8</v>
      </c>
      <c r="G26" s="2">
        <v>-35.761539999999997</v>
      </c>
      <c r="H26" s="2">
        <f t="shared" si="12"/>
        <v>1.6290071856043555E-2</v>
      </c>
      <c r="I26" s="2">
        <f t="shared" si="13"/>
        <v>2.6536644107506233E-4</v>
      </c>
      <c r="K26">
        <v>8</v>
      </c>
      <c r="L26" s="2">
        <v>-43.648229999999998</v>
      </c>
      <c r="M26" s="2">
        <f t="shared" si="14"/>
        <v>6.5703499262493798E-3</v>
      </c>
      <c r="N26" s="2">
        <f t="shared" si="15"/>
        <v>4.3169498153365231E-5</v>
      </c>
      <c r="P26">
        <v>8</v>
      </c>
      <c r="Q26" s="2">
        <v>-54.7545</v>
      </c>
      <c r="R26" s="2">
        <f t="shared" si="16"/>
        <v>1.8292581556982267E-3</v>
      </c>
      <c r="S26" s="2">
        <f t="shared" si="17"/>
        <v>3.3461854001884778E-6</v>
      </c>
      <c r="U26">
        <v>8</v>
      </c>
      <c r="V26" s="2">
        <v>-58.685600000000001</v>
      </c>
      <c r="W26" s="2">
        <f t="shared" si="18"/>
        <v>1.1633757315162722E-3</v>
      </c>
      <c r="X26" s="2">
        <f t="shared" si="19"/>
        <v>1.3534430926810213E-6</v>
      </c>
    </row>
    <row r="27" spans="1:24" ht="14.25" customHeight="1" x14ac:dyDescent="0.45">
      <c r="A27" t="s">
        <v>1</v>
      </c>
      <c r="B27" s="2">
        <f>SQRT(SUM(D20:D26)/D19)</f>
        <v>0.57286521798157586</v>
      </c>
      <c r="F27" t="s">
        <v>1</v>
      </c>
      <c r="G27" s="2">
        <f>SQRT(SUM(I20:I26)/I19)</f>
        <v>0.37057410684906278</v>
      </c>
      <c r="K27" t="s">
        <v>1</v>
      </c>
      <c r="L27" s="2">
        <f>SQRT(SUM(N20:N26)/N19)</f>
        <v>0.19578116585594971</v>
      </c>
      <c r="P27" t="s">
        <v>1</v>
      </c>
      <c r="Q27" s="2">
        <f>SQRT(SUM(S20:S26)/S19)</f>
        <v>5.8754832421509827E-2</v>
      </c>
      <c r="U27" t="s">
        <v>1</v>
      </c>
      <c r="V27" s="2">
        <f>SQRT(SUM(X20:X26)/X19)</f>
        <v>9.3273060292258965E-3</v>
      </c>
    </row>
    <row r="28" spans="1:24" ht="14.25" customHeight="1" x14ac:dyDescent="0.45">
      <c r="A28" t="s">
        <v>6</v>
      </c>
      <c r="B28" s="2">
        <f>B27*100</f>
        <v>57.286521798157587</v>
      </c>
      <c r="F28" t="s">
        <v>6</v>
      </c>
      <c r="G28" s="2">
        <f>G27*100</f>
        <v>37.05741068490628</v>
      </c>
      <c r="K28" t="s">
        <v>6</v>
      </c>
      <c r="L28" s="2">
        <f>L27*100</f>
        <v>19.578116585594969</v>
      </c>
      <c r="P28" t="s">
        <v>6</v>
      </c>
      <c r="Q28" s="2">
        <f>Q27*100</f>
        <v>5.8754832421509828</v>
      </c>
      <c r="U28" t="s">
        <v>6</v>
      </c>
      <c r="V28" s="2">
        <f>V27*100</f>
        <v>0.93273060292258969</v>
      </c>
    </row>
    <row r="29" spans="1:24" ht="14.25" customHeight="1" x14ac:dyDescent="0.45">
      <c r="A29" t="s">
        <v>12</v>
      </c>
    </row>
    <row r="30" spans="1:24" ht="14.25" customHeight="1" x14ac:dyDescent="0.45">
      <c r="A30" t="s">
        <v>13</v>
      </c>
    </row>
    <row r="31" spans="1:24" ht="14.25" customHeight="1" x14ac:dyDescent="0.45">
      <c r="A31" t="s">
        <v>11</v>
      </c>
    </row>
    <row r="32" spans="1:24" ht="14.25" customHeight="1" x14ac:dyDescent="0.45"/>
    <row r="33" spans="1:24" ht="14.25" customHeight="1" x14ac:dyDescent="0.45">
      <c r="A33" s="1" t="s">
        <v>23</v>
      </c>
      <c r="B33" s="1"/>
      <c r="C33" s="1"/>
      <c r="D33" s="1"/>
      <c r="F33" s="1" t="s">
        <v>22</v>
      </c>
      <c r="G33" s="1"/>
      <c r="H33" s="1"/>
      <c r="I33" s="1"/>
      <c r="K33" s="1" t="s">
        <v>21</v>
      </c>
      <c r="L33" s="1"/>
      <c r="M33" s="1"/>
      <c r="N33" s="1"/>
      <c r="P33" s="1" t="s">
        <v>20</v>
      </c>
      <c r="Q33" s="1"/>
      <c r="R33" s="1"/>
      <c r="S33" s="1"/>
      <c r="U33" s="1" t="s">
        <v>19</v>
      </c>
      <c r="V33" s="1"/>
      <c r="W33" s="1"/>
      <c r="X33" s="1"/>
    </row>
    <row r="34" spans="1:24" ht="14.25" customHeight="1" x14ac:dyDescent="0.45">
      <c r="A34" t="s">
        <v>0</v>
      </c>
      <c r="B34" t="s">
        <v>4</v>
      </c>
      <c r="C34" t="s">
        <v>3</v>
      </c>
      <c r="D34" t="s">
        <v>2</v>
      </c>
      <c r="F34" t="s">
        <v>0</v>
      </c>
      <c r="G34" t="s">
        <v>4</v>
      </c>
      <c r="H34" t="s">
        <v>3</v>
      </c>
      <c r="I34" t="s">
        <v>2</v>
      </c>
      <c r="K34" t="s">
        <v>0</v>
      </c>
      <c r="L34" t="s">
        <v>4</v>
      </c>
      <c r="M34" t="s">
        <v>3</v>
      </c>
      <c r="N34" t="s">
        <v>2</v>
      </c>
      <c r="P34" t="s">
        <v>0</v>
      </c>
      <c r="Q34" t="s">
        <v>4</v>
      </c>
      <c r="R34" t="s">
        <v>3</v>
      </c>
      <c r="S34" t="s">
        <v>2</v>
      </c>
      <c r="U34" t="s">
        <v>0</v>
      </c>
      <c r="V34" t="s">
        <v>4</v>
      </c>
      <c r="W34" t="s">
        <v>3</v>
      </c>
      <c r="X34" t="s">
        <v>2</v>
      </c>
    </row>
    <row r="35" spans="1:24" ht="14.25" customHeight="1" x14ac:dyDescent="0.45">
      <c r="A35">
        <v>1</v>
      </c>
      <c r="B35" s="2">
        <v>8.7264093000000003</v>
      </c>
      <c r="C35" s="2">
        <f>10^(B35/20)</f>
        <v>2.7309922330078882</v>
      </c>
      <c r="D35" s="2">
        <f>C35^2</f>
        <v>7.4583185767494111</v>
      </c>
      <c r="F35">
        <v>1</v>
      </c>
      <c r="G35" s="2">
        <v>4.9325400000000004</v>
      </c>
      <c r="H35" s="2">
        <f>10^(G35/20)</f>
        <v>1.7645216851265479</v>
      </c>
      <c r="I35" s="2">
        <f>H35^2</f>
        <v>3.1135367772818325</v>
      </c>
      <c r="K35">
        <v>1</v>
      </c>
      <c r="L35" s="2">
        <v>1.7835570000000001</v>
      </c>
      <c r="M35" s="2">
        <f>10^(L35/20)</f>
        <v>1.2279419885753484</v>
      </c>
      <c r="N35" s="2">
        <f>M35^2</f>
        <v>1.5078415273063812</v>
      </c>
      <c r="P35">
        <v>1</v>
      </c>
      <c r="Q35" s="2">
        <v>0.51427613999999999</v>
      </c>
      <c r="R35" s="2">
        <f>10^(Q35/20)</f>
        <v>1.0609961475695531</v>
      </c>
      <c r="S35" s="2">
        <f>R35^2</f>
        <v>1.1257128251574329</v>
      </c>
      <c r="U35">
        <v>1</v>
      </c>
      <c r="V35" s="2">
        <v>-2.5384099999999998</v>
      </c>
      <c r="W35" s="2">
        <f>10^(V35/20)</f>
        <v>0.74658541247913746</v>
      </c>
      <c r="X35" s="2">
        <f>W35^2</f>
        <v>0.55738977812664381</v>
      </c>
    </row>
    <row r="36" spans="1:24" ht="14.25" customHeight="1" x14ac:dyDescent="0.45">
      <c r="A36">
        <v>2</v>
      </c>
      <c r="B36" s="2">
        <v>4.2524160000000002</v>
      </c>
      <c r="C36" s="2">
        <f t="shared" ref="C36:C42" si="20">10^(B36/20)</f>
        <v>1.6316266867970712</v>
      </c>
      <c r="D36" s="2">
        <f t="shared" ref="D36:D42" si="21">C36^2</f>
        <v>2.6622056450683882</v>
      </c>
      <c r="F36">
        <v>2</v>
      </c>
      <c r="G36" s="2">
        <v>-3.9363100000000002</v>
      </c>
      <c r="H36" s="2">
        <f>10^(G36/20)</f>
        <v>0.63560089489327276</v>
      </c>
      <c r="I36" s="2">
        <f t="shared" ref="I36:I42" si="22">H36^2</f>
        <v>0.40398849758912919</v>
      </c>
      <c r="K36">
        <v>2</v>
      </c>
      <c r="L36" s="2">
        <v>-13.438800000000001</v>
      </c>
      <c r="M36" s="2">
        <f>10^(L36/20)</f>
        <v>0.21284330795679507</v>
      </c>
      <c r="N36" s="2">
        <f t="shared" ref="N36:N42" si="23">M36^2</f>
        <v>4.5302273741991105E-2</v>
      </c>
      <c r="P36">
        <v>2</v>
      </c>
      <c r="Q36" s="2">
        <v>-24.62462</v>
      </c>
      <c r="R36" s="2">
        <f t="shared" ref="R36:R42" si="24">10^(Q36/20)</f>
        <v>5.8717695170362363E-2</v>
      </c>
      <c r="S36" s="2">
        <f t="shared" ref="S36:S42" si="25">R36^2</f>
        <v>3.4477677261195955E-3</v>
      </c>
      <c r="U36">
        <v>2</v>
      </c>
      <c r="V36" s="2">
        <v>-47.950449999999996</v>
      </c>
      <c r="W36" s="2">
        <f t="shared" ref="W36:W42" si="26">10^(V36/20)</f>
        <v>4.0038472459549114E-3</v>
      </c>
      <c r="X36" s="2">
        <f t="shared" ref="X36:X42" si="27">W36^2</f>
        <v>1.6030792768940728E-5</v>
      </c>
    </row>
    <row r="37" spans="1:24" ht="14.25" customHeight="1" x14ac:dyDescent="0.45">
      <c r="A37">
        <v>3</v>
      </c>
      <c r="B37" s="2">
        <v>-5.9124749999999997</v>
      </c>
      <c r="C37" s="2">
        <f t="shared" si="20"/>
        <v>0.50626307188618402</v>
      </c>
      <c r="D37" s="2">
        <f t="shared" si="21"/>
        <v>0.25630229795563553</v>
      </c>
      <c r="F37">
        <v>3</v>
      </c>
      <c r="G37" s="2">
        <v>-22.321000000000002</v>
      </c>
      <c r="H37" s="2">
        <f>10^(G37/20)</f>
        <v>7.655084694182393E-2</v>
      </c>
      <c r="I37" s="2">
        <f t="shared" si="22"/>
        <v>5.8600321675105543E-3</v>
      </c>
      <c r="K37">
        <v>3</v>
      </c>
      <c r="L37" s="2">
        <v>-19.567900000000002</v>
      </c>
      <c r="M37" s="2">
        <f>10^(L37/20)</f>
        <v>0.10510055272648611</v>
      </c>
      <c r="N37" s="2">
        <f t="shared" si="23"/>
        <v>1.1046126183412887E-2</v>
      </c>
      <c r="P37">
        <v>3</v>
      </c>
      <c r="Q37" s="2">
        <v>-26.244759999999999</v>
      </c>
      <c r="R37" s="2">
        <f t="shared" si="24"/>
        <v>4.8726139024904185E-2</v>
      </c>
      <c r="S37" s="2">
        <f t="shared" si="25"/>
        <v>2.3742366242742903E-3</v>
      </c>
      <c r="U37">
        <v>3</v>
      </c>
      <c r="V37" s="2">
        <v>-41.345280000000002</v>
      </c>
      <c r="W37" s="2">
        <f t="shared" si="26"/>
        <v>8.5651702526749647E-3</v>
      </c>
      <c r="X37" s="2">
        <f t="shared" si="27"/>
        <v>7.3362141457308113E-5</v>
      </c>
    </row>
    <row r="38" spans="1:24" ht="14.25" customHeight="1" x14ac:dyDescent="0.45">
      <c r="A38">
        <v>4</v>
      </c>
      <c r="B38" s="2">
        <v>-17.163319999999999</v>
      </c>
      <c r="C38" s="2">
        <f t="shared" si="20"/>
        <v>0.13862258716932108</v>
      </c>
      <c r="D38" s="2">
        <f t="shared" si="21"/>
        <v>1.9216221673516019E-2</v>
      </c>
      <c r="F38">
        <v>4</v>
      </c>
      <c r="G38" s="2">
        <v>-18.847548</v>
      </c>
      <c r="H38" s="2">
        <f>10^(G38/20)</f>
        <v>0.11418856099286408</v>
      </c>
      <c r="I38" s="2">
        <f t="shared" si="22"/>
        <v>1.303902746162104E-2</v>
      </c>
      <c r="K38">
        <v>4</v>
      </c>
      <c r="L38" s="2">
        <v>-34.189619999999998</v>
      </c>
      <c r="M38" s="2">
        <f>10^(L38/20)</f>
        <v>1.952176138156932E-2</v>
      </c>
      <c r="N38" s="2">
        <f t="shared" si="23"/>
        <v>3.810991674389313E-4</v>
      </c>
      <c r="P38">
        <v>4</v>
      </c>
      <c r="Q38" s="2">
        <v>-31.102039999999999</v>
      </c>
      <c r="R38" s="2">
        <f t="shared" si="24"/>
        <v>2.7854668867971395E-2</v>
      </c>
      <c r="S38" s="2">
        <f t="shared" si="25"/>
        <v>7.7588257774433489E-4</v>
      </c>
      <c r="U38">
        <v>4</v>
      </c>
      <c r="V38" s="2">
        <v>-55.475811999999998</v>
      </c>
      <c r="W38" s="2">
        <f t="shared" si="26"/>
        <v>1.6834855770393963E-3</v>
      </c>
      <c r="X38" s="2">
        <f t="shared" si="27"/>
        <v>2.8341236880996692E-6</v>
      </c>
    </row>
    <row r="39" spans="1:24" ht="14.25" customHeight="1" x14ac:dyDescent="0.45">
      <c r="A39">
        <v>5</v>
      </c>
      <c r="B39" s="2">
        <v>-12.8383</v>
      </c>
      <c r="C39" s="2">
        <f t="shared" si="20"/>
        <v>0.22807884236201659</v>
      </c>
      <c r="D39" s="2">
        <f t="shared" si="21"/>
        <v>5.2019958333197613E-2</v>
      </c>
      <c r="F39">
        <v>5</v>
      </c>
      <c r="G39" s="2">
        <v>-27.135739999999998</v>
      </c>
      <c r="H39" s="2">
        <f>10^(G39/20)</f>
        <v>4.3975724177045733E-2</v>
      </c>
      <c r="I39" s="2">
        <f t="shared" si="22"/>
        <v>1.9338643168956046E-3</v>
      </c>
      <c r="K39">
        <v>5</v>
      </c>
      <c r="L39" s="2">
        <v>-33.874360000000003</v>
      </c>
      <c r="M39" s="2">
        <f>10^(L39/20)</f>
        <v>2.0243332102641398E-2</v>
      </c>
      <c r="N39" s="2">
        <f t="shared" si="23"/>
        <v>4.097924946178318E-4</v>
      </c>
      <c r="P39">
        <v>5</v>
      </c>
      <c r="Q39" s="2">
        <v>-34.502673000000001</v>
      </c>
      <c r="R39" s="2">
        <f t="shared" si="24"/>
        <v>1.8830695035671519E-2</v>
      </c>
      <c r="S39" s="2">
        <f t="shared" si="25"/>
        <v>3.5459507552646402E-4</v>
      </c>
      <c r="U39">
        <v>5</v>
      </c>
      <c r="V39" s="2">
        <v>-43.596539999999997</v>
      </c>
      <c r="W39" s="2">
        <f t="shared" si="26"/>
        <v>6.6095668583314778E-3</v>
      </c>
      <c r="X39" s="2">
        <f t="shared" si="27"/>
        <v>4.3686374054753841E-5</v>
      </c>
    </row>
    <row r="40" spans="1:24" ht="14.25" customHeight="1" x14ac:dyDescent="0.45">
      <c r="A40">
        <v>6</v>
      </c>
      <c r="B40" s="2">
        <v>-26.64396</v>
      </c>
      <c r="C40" s="2">
        <f t="shared" si="20"/>
        <v>4.6537387568645443E-2</v>
      </c>
      <c r="D40" s="2">
        <f t="shared" si="21"/>
        <v>2.1657284417143153E-3</v>
      </c>
      <c r="F40">
        <v>6</v>
      </c>
      <c r="G40" s="2">
        <v>-27.937923999999999</v>
      </c>
      <c r="H40" s="2">
        <f>10^(G40/20)</f>
        <v>4.0096253956376324E-2</v>
      </c>
      <c r="I40" s="2">
        <f t="shared" si="22"/>
        <v>1.6077095813342239E-3</v>
      </c>
      <c r="K40">
        <v>6</v>
      </c>
      <c r="L40" s="2">
        <v>-32.442239999999998</v>
      </c>
      <c r="M40" s="2">
        <f>10^(L40/20)</f>
        <v>2.3871955707789751E-2</v>
      </c>
      <c r="N40" s="2">
        <f t="shared" si="23"/>
        <v>5.6987026931467569E-4</v>
      </c>
      <c r="P40">
        <v>6</v>
      </c>
      <c r="Q40" s="2">
        <v>-50.60031</v>
      </c>
      <c r="R40" s="2">
        <f t="shared" si="24"/>
        <v>2.9511038996851966E-3</v>
      </c>
      <c r="S40" s="2">
        <f t="shared" si="25"/>
        <v>8.709014226737175E-6</v>
      </c>
      <c r="U40">
        <v>6</v>
      </c>
      <c r="V40" s="2">
        <v>-67.411060000000006</v>
      </c>
      <c r="W40" s="2">
        <f t="shared" si="26"/>
        <v>4.2603668816662614E-4</v>
      </c>
      <c r="X40" s="2">
        <f t="shared" si="27"/>
        <v>1.8150725966398703E-7</v>
      </c>
    </row>
    <row r="41" spans="1:24" ht="14.25" customHeight="1" x14ac:dyDescent="0.45">
      <c r="A41">
        <v>7</v>
      </c>
      <c r="B41" s="2">
        <v>-21.305900000000001</v>
      </c>
      <c r="C41" s="2">
        <f t="shared" si="20"/>
        <v>8.6040910991310754E-2</v>
      </c>
      <c r="D41" s="2">
        <f t="shared" si="21"/>
        <v>7.40303836421466E-3</v>
      </c>
      <c r="F41">
        <v>7</v>
      </c>
      <c r="G41" s="2">
        <v>-30.596299999999999</v>
      </c>
      <c r="H41" s="2">
        <f>10^(G41/20)</f>
        <v>2.9524666453826294E-2</v>
      </c>
      <c r="I41" s="2">
        <f t="shared" si="22"/>
        <v>8.717059292096957E-4</v>
      </c>
      <c r="K41">
        <v>7</v>
      </c>
      <c r="L41" s="2">
        <v>-43.529690000000002</v>
      </c>
      <c r="M41" s="2">
        <f>10^(L41/20)</f>
        <v>6.6606329271905506E-3</v>
      </c>
      <c r="N41" s="2">
        <f t="shared" si="23"/>
        <v>4.436403099077496E-5</v>
      </c>
      <c r="P41">
        <v>7</v>
      </c>
      <c r="Q41" s="2">
        <v>-64.501450000000006</v>
      </c>
      <c r="R41" s="2">
        <f t="shared" si="24"/>
        <v>5.9556271352755323E-4</v>
      </c>
      <c r="S41" s="2">
        <f t="shared" si="25"/>
        <v>3.5469494574430246E-7</v>
      </c>
      <c r="U41">
        <v>7</v>
      </c>
      <c r="V41" s="2">
        <v>-45.820599999999999</v>
      </c>
      <c r="W41" s="2">
        <f t="shared" si="26"/>
        <v>5.1164649103207123E-3</v>
      </c>
      <c r="X41" s="2">
        <f t="shared" si="27"/>
        <v>2.6178213178543136E-5</v>
      </c>
    </row>
    <row r="42" spans="1:24" ht="14.25" customHeight="1" x14ac:dyDescent="0.45">
      <c r="A42">
        <v>8</v>
      </c>
      <c r="B42" s="2">
        <v>-24.253699999999998</v>
      </c>
      <c r="C42" s="2">
        <f t="shared" si="20"/>
        <v>6.1279469933498504E-2</v>
      </c>
      <c r="D42" s="2">
        <f t="shared" si="21"/>
        <v>3.7551734353305473E-3</v>
      </c>
      <c r="F42">
        <v>8</v>
      </c>
      <c r="G42" s="2">
        <v>-35.761546000000003</v>
      </c>
      <c r="H42" s="2">
        <f>10^(G42/20)</f>
        <v>1.6290060603264447E-2</v>
      </c>
      <c r="I42" s="2">
        <f t="shared" si="22"/>
        <v>2.6536607445802845E-4</v>
      </c>
      <c r="K42">
        <v>8</v>
      </c>
      <c r="L42" s="2">
        <v>-43.648229999999998</v>
      </c>
      <c r="M42" s="2">
        <f>10^(L42/20)</f>
        <v>6.5703499262493798E-3</v>
      </c>
      <c r="N42" s="2">
        <f t="shared" si="23"/>
        <v>4.3169498153365231E-5</v>
      </c>
      <c r="P42">
        <v>8</v>
      </c>
      <c r="Q42" s="2">
        <v>-42.891917999999997</v>
      </c>
      <c r="R42" s="2">
        <f t="shared" si="24"/>
        <v>7.1681007360048805E-3</v>
      </c>
      <c r="S42" s="2">
        <f t="shared" si="25"/>
        <v>5.1381668161513708E-5</v>
      </c>
      <c r="U42">
        <v>8</v>
      </c>
      <c r="V42" s="2">
        <v>-67.42407</v>
      </c>
      <c r="W42" s="2">
        <f t="shared" si="26"/>
        <v>4.2539903461908822E-4</v>
      </c>
      <c r="X42" s="2">
        <f t="shared" si="27"/>
        <v>1.8096433865485222E-7</v>
      </c>
    </row>
    <row r="43" spans="1:24" ht="14.25" customHeight="1" x14ac:dyDescent="0.45">
      <c r="A43" t="s">
        <v>1</v>
      </c>
      <c r="B43" s="2">
        <f>SQRT(SUM(D36:D42)/D35)</f>
        <v>0.63454455632488627</v>
      </c>
      <c r="F43" t="s">
        <v>1</v>
      </c>
      <c r="G43" s="2">
        <f>SQRT(SUM(I36:I42)/I35)</f>
        <v>0.37057377751390241</v>
      </c>
      <c r="K43" t="s">
        <v>1</v>
      </c>
      <c r="L43" s="2">
        <f>SQRT(SUM(N36:N42)/N35)</f>
        <v>0.19578240263032307</v>
      </c>
      <c r="P43" t="s">
        <v>1</v>
      </c>
      <c r="Q43" s="2">
        <f>SQRT(SUM(S36:S42)/S35)</f>
        <v>7.892886612997603E-2</v>
      </c>
      <c r="U43" t="s">
        <v>1</v>
      </c>
      <c r="V43" s="2">
        <f>SQRT(SUM(X36:X42)/X35)</f>
        <v>1.7072057335423756E-2</v>
      </c>
    </row>
    <row r="44" spans="1:24" ht="14.25" customHeight="1" x14ac:dyDescent="0.45">
      <c r="A44" t="s">
        <v>6</v>
      </c>
      <c r="B44" s="2">
        <f>B43*100</f>
        <v>63.454455632488624</v>
      </c>
      <c r="F44" t="s">
        <v>6</v>
      </c>
      <c r="G44" s="2">
        <f>G43*100</f>
        <v>37.057377751390241</v>
      </c>
      <c r="K44" t="s">
        <v>6</v>
      </c>
      <c r="L44" s="2">
        <f>L43*100</f>
        <v>19.578240263032306</v>
      </c>
      <c r="P44" t="s">
        <v>6</v>
      </c>
      <c r="Q44" s="2">
        <f>Q43*100</f>
        <v>7.8928866129976027</v>
      </c>
      <c r="U44" t="s">
        <v>6</v>
      </c>
      <c r="V44" s="2">
        <f>V43*100</f>
        <v>1.7072057335423756</v>
      </c>
    </row>
    <row r="45" spans="1:24" ht="14.25" customHeight="1" x14ac:dyDescent="0.45">
      <c r="A45" t="s">
        <v>12</v>
      </c>
    </row>
    <row r="46" spans="1:24" ht="14.25" customHeight="1" x14ac:dyDescent="0.45">
      <c r="A46" t="s">
        <v>13</v>
      </c>
    </row>
    <row r="47" spans="1:24" ht="14.25" customHeight="1" x14ac:dyDescent="0.45">
      <c r="A47" t="s">
        <v>11</v>
      </c>
    </row>
    <row r="48" spans="1:24" ht="14.25" customHeight="1" x14ac:dyDescent="0.45"/>
    <row r="49" spans="1:24" ht="14.25" customHeight="1" x14ac:dyDescent="0.45">
      <c r="A49" s="1" t="s">
        <v>24</v>
      </c>
      <c r="B49" s="1"/>
      <c r="C49" s="1"/>
      <c r="D49" s="1"/>
      <c r="F49" s="1" t="s">
        <v>25</v>
      </c>
      <c r="G49" s="1"/>
      <c r="H49" s="1"/>
      <c r="I49" s="1"/>
      <c r="K49" s="1" t="s">
        <v>26</v>
      </c>
      <c r="L49" s="1"/>
      <c r="M49" s="1"/>
      <c r="N49" s="1"/>
      <c r="P49" s="1" t="s">
        <v>27</v>
      </c>
      <c r="Q49" s="1"/>
      <c r="R49" s="1"/>
      <c r="S49" s="1"/>
      <c r="U49" s="1" t="s">
        <v>28</v>
      </c>
      <c r="V49" s="1"/>
      <c r="W49" s="1"/>
      <c r="X49" s="1"/>
    </row>
    <row r="50" spans="1:24" ht="14.25" customHeight="1" x14ac:dyDescent="0.45">
      <c r="A50" t="s">
        <v>0</v>
      </c>
      <c r="B50" t="s">
        <v>4</v>
      </c>
      <c r="C50" t="s">
        <v>3</v>
      </c>
      <c r="D50" t="s">
        <v>2</v>
      </c>
      <c r="F50" t="s">
        <v>0</v>
      </c>
      <c r="G50" t="s">
        <v>4</v>
      </c>
      <c r="H50" t="s">
        <v>3</v>
      </c>
      <c r="I50" t="s">
        <v>2</v>
      </c>
      <c r="K50" t="s">
        <v>0</v>
      </c>
      <c r="L50" t="s">
        <v>4</v>
      </c>
      <c r="M50" t="s">
        <v>3</v>
      </c>
      <c r="N50" t="s">
        <v>2</v>
      </c>
      <c r="P50" t="s">
        <v>0</v>
      </c>
      <c r="Q50" t="s">
        <v>4</v>
      </c>
      <c r="R50" t="s">
        <v>3</v>
      </c>
      <c r="S50" t="s">
        <v>2</v>
      </c>
      <c r="U50" t="s">
        <v>0</v>
      </c>
      <c r="V50" t="s">
        <v>4</v>
      </c>
      <c r="W50" t="s">
        <v>3</v>
      </c>
      <c r="X50" t="s">
        <v>2</v>
      </c>
    </row>
    <row r="51" spans="1:24" ht="14.25" customHeight="1" x14ac:dyDescent="0.45">
      <c r="A51">
        <v>1</v>
      </c>
      <c r="B51" s="2">
        <v>10.066017</v>
      </c>
      <c r="C51" s="2">
        <f>10^(B51/20)</f>
        <v>3.1864040837436325</v>
      </c>
      <c r="D51" s="2">
        <f>C51^2</f>
        <v>10.153170984898098</v>
      </c>
      <c r="F51">
        <v>1</v>
      </c>
      <c r="G51" s="2"/>
      <c r="H51" s="2">
        <f>10^(G51/20)</f>
        <v>1</v>
      </c>
      <c r="I51" s="2">
        <f>H51^2</f>
        <v>1</v>
      </c>
      <c r="K51">
        <v>1</v>
      </c>
      <c r="L51" s="2">
        <v>4.7132839999999998</v>
      </c>
      <c r="M51" s="2">
        <f>10^(L51/20)</f>
        <v>1.7205377268786246</v>
      </c>
      <c r="N51" s="2">
        <f>M51^2</f>
        <v>2.9602500696126648</v>
      </c>
      <c r="P51">
        <v>1</v>
      </c>
      <c r="Q51" s="2">
        <v>3.5412034000000001</v>
      </c>
      <c r="R51" s="2">
        <f>10^(Q51/20)</f>
        <v>1.5033502356433173</v>
      </c>
      <c r="S51" s="2">
        <f>R51^2</f>
        <v>2.2600619310088175</v>
      </c>
      <c r="U51">
        <v>1</v>
      </c>
      <c r="V51" s="2">
        <v>0.66674623</v>
      </c>
      <c r="W51" s="2">
        <f>10^(V51/20)</f>
        <v>1.0797850531861271</v>
      </c>
      <c r="X51" s="2">
        <f>W51^2</f>
        <v>1.1659357610841672</v>
      </c>
    </row>
    <row r="52" spans="1:24" ht="14.25" customHeight="1" x14ac:dyDescent="0.45">
      <c r="A52">
        <v>2</v>
      </c>
      <c r="B52" s="2">
        <v>6.3832149999999999</v>
      </c>
      <c r="C52" s="2">
        <f t="shared" ref="C52:C58" si="28">10^(B52/20)</f>
        <v>2.0852625805163836</v>
      </c>
      <c r="D52" s="2">
        <f t="shared" ref="D52:D58" si="29">C52^2</f>
        <v>4.3483200297018474</v>
      </c>
      <c r="F52">
        <v>2</v>
      </c>
      <c r="G52" s="2"/>
      <c r="H52" s="2">
        <f t="shared" ref="H52:H58" si="30">10^(G52/20)</f>
        <v>1</v>
      </c>
      <c r="I52" s="2">
        <f t="shared" ref="I52:I58" si="31">H52^2</f>
        <v>1</v>
      </c>
      <c r="K52">
        <v>2</v>
      </c>
      <c r="L52" s="2">
        <v>-8.9661418000000008</v>
      </c>
      <c r="M52" s="2">
        <f t="shared" ref="M52:M58" si="32">10^(L52/20)</f>
        <v>0.3561991756148925</v>
      </c>
      <c r="N52" s="2">
        <f t="shared" ref="N52:N58" si="33">M52^2</f>
        <v>0.12687785270872903</v>
      </c>
      <c r="P52">
        <v>2</v>
      </c>
      <c r="Q52" s="2">
        <v>-18.148479999999999</v>
      </c>
      <c r="R52" s="2">
        <f t="shared" ref="R52:R58" si="34">10^(Q52/20)</f>
        <v>0.12375877444696284</v>
      </c>
      <c r="S52" s="2">
        <f t="shared" ref="S52:S58" si="35">R52^2</f>
        <v>1.5316234252614223E-2</v>
      </c>
      <c r="U52">
        <v>2</v>
      </c>
      <c r="V52" s="2">
        <v>-34.361789999999999</v>
      </c>
      <c r="W52" s="2">
        <f t="shared" ref="W52:W58" si="36">10^(V52/20)</f>
        <v>1.9138614731915041E-2</v>
      </c>
      <c r="X52" s="2">
        <f t="shared" ref="X52:X58" si="37">W52^2</f>
        <v>3.662865738566754E-4</v>
      </c>
    </row>
    <row r="53" spans="1:24" ht="14.25" customHeight="1" x14ac:dyDescent="0.45">
      <c r="A53">
        <v>3</v>
      </c>
      <c r="B53" s="2">
        <v>-1.3378989999999999</v>
      </c>
      <c r="C53" s="2">
        <f t="shared" si="28"/>
        <v>0.8572451762442691</v>
      </c>
      <c r="D53" s="2">
        <f t="shared" si="29"/>
        <v>0.73486929219406805</v>
      </c>
      <c r="F53">
        <v>3</v>
      </c>
      <c r="G53" s="2"/>
      <c r="H53" s="2">
        <f t="shared" si="30"/>
        <v>1</v>
      </c>
      <c r="I53" s="2">
        <f t="shared" si="31"/>
        <v>1</v>
      </c>
      <c r="K53">
        <v>3</v>
      </c>
      <c r="L53" s="2">
        <v>-16.372800000000002</v>
      </c>
      <c r="M53" s="2">
        <f t="shared" si="32"/>
        <v>0.15183084183278672</v>
      </c>
      <c r="N53" s="2">
        <f t="shared" si="33"/>
        <v>2.3052604531652698E-2</v>
      </c>
      <c r="P53">
        <v>3</v>
      </c>
      <c r="Q53" s="2">
        <v>-20.612100000000002</v>
      </c>
      <c r="R53" s="2">
        <f t="shared" si="34"/>
        <v>9.3195512297420985E-2</v>
      </c>
      <c r="S53" s="2">
        <f t="shared" si="35"/>
        <v>8.6854035123787466E-3</v>
      </c>
      <c r="U53">
        <v>3</v>
      </c>
      <c r="V53" s="2">
        <v>-32.015265999999997</v>
      </c>
      <c r="W53" s="2">
        <f t="shared" si="36"/>
        <v>2.5074755097236185E-2</v>
      </c>
      <c r="X53" s="2">
        <f t="shared" si="37"/>
        <v>6.2874334318637208E-4</v>
      </c>
    </row>
    <row r="54" spans="1:24" ht="14.25" customHeight="1" x14ac:dyDescent="0.45">
      <c r="A54">
        <v>4</v>
      </c>
      <c r="B54" s="2">
        <v>-34.740749999999998</v>
      </c>
      <c r="C54" s="2">
        <f t="shared" si="28"/>
        <v>1.8321562144563951E-2</v>
      </c>
      <c r="D54" s="2">
        <f t="shared" si="29"/>
        <v>3.3567963941711878E-4</v>
      </c>
      <c r="F54">
        <v>4</v>
      </c>
      <c r="G54" s="2"/>
      <c r="H54" s="2">
        <f t="shared" si="30"/>
        <v>1</v>
      </c>
      <c r="I54" s="2">
        <f t="shared" si="31"/>
        <v>1</v>
      </c>
      <c r="K54">
        <v>4</v>
      </c>
      <c r="L54" s="2">
        <v>-50.403146999999997</v>
      </c>
      <c r="M54" s="2">
        <f t="shared" si="32"/>
        <v>3.0188577545561608E-3</v>
      </c>
      <c r="N54" s="2">
        <f t="shared" si="33"/>
        <v>9.1135021422438646E-6</v>
      </c>
      <c r="P54">
        <v>4</v>
      </c>
      <c r="Q54" s="2">
        <v>-27.214974999999999</v>
      </c>
      <c r="R54" s="2">
        <f t="shared" si="34"/>
        <v>4.3576390087146852E-2</v>
      </c>
      <c r="S54" s="2">
        <f t="shared" si="35"/>
        <v>1.8989017730271904E-3</v>
      </c>
      <c r="U54">
        <v>4</v>
      </c>
      <c r="V54" s="2">
        <v>-39.060518000000002</v>
      </c>
      <c r="W54" s="2">
        <f t="shared" si="36"/>
        <v>1.114228082441481E-2</v>
      </c>
      <c r="X54" s="2">
        <f t="shared" si="37"/>
        <v>1.2415042197012197E-4</v>
      </c>
    </row>
    <row r="55" spans="1:24" ht="14.25" customHeight="1" x14ac:dyDescent="0.45">
      <c r="A55">
        <v>5</v>
      </c>
      <c r="B55" s="2">
        <v>-10.686389999999999</v>
      </c>
      <c r="C55" s="2">
        <f t="shared" si="28"/>
        <v>0.29220019404117403</v>
      </c>
      <c r="D55" s="2">
        <f t="shared" si="29"/>
        <v>8.5380953397699758E-2</v>
      </c>
      <c r="F55">
        <v>5</v>
      </c>
      <c r="G55" s="2"/>
      <c r="H55" s="2">
        <f t="shared" si="30"/>
        <v>1</v>
      </c>
      <c r="I55" s="2">
        <f t="shared" si="31"/>
        <v>1</v>
      </c>
      <c r="K55">
        <v>5</v>
      </c>
      <c r="L55" s="2">
        <v>-27.170342000000002</v>
      </c>
      <c r="M55" s="2">
        <f t="shared" si="32"/>
        <v>4.3800886457996166E-2</v>
      </c>
      <c r="N55" s="2">
        <f t="shared" si="33"/>
        <v>1.9185176545062719E-3</v>
      </c>
      <c r="P55">
        <v>5</v>
      </c>
      <c r="Q55" s="2">
        <v>-33.5154</v>
      </c>
      <c r="R55" s="2">
        <f t="shared" si="34"/>
        <v>2.1097451637106794E-2</v>
      </c>
      <c r="S55" s="2">
        <f t="shared" si="35"/>
        <v>4.4510246558006014E-4</v>
      </c>
      <c r="U55">
        <v>5</v>
      </c>
      <c r="V55" s="2">
        <v>-35.405248999999998</v>
      </c>
      <c r="W55" s="2">
        <f t="shared" si="36"/>
        <v>1.6972176910005642E-2</v>
      </c>
      <c r="X55" s="2">
        <f t="shared" si="37"/>
        <v>2.8805478906452866E-4</v>
      </c>
    </row>
    <row r="56" spans="1:24" ht="14.25" customHeight="1" x14ac:dyDescent="0.45">
      <c r="A56">
        <v>6</v>
      </c>
      <c r="B56" s="2">
        <v>-14.70834</v>
      </c>
      <c r="C56" s="2">
        <f t="shared" si="28"/>
        <v>0.18390053809907606</v>
      </c>
      <c r="D56" s="2">
        <f t="shared" si="29"/>
        <v>3.381940791312972E-2</v>
      </c>
      <c r="F56">
        <v>6</v>
      </c>
      <c r="G56" s="2"/>
      <c r="H56" s="2">
        <f t="shared" si="30"/>
        <v>1</v>
      </c>
      <c r="I56" s="2">
        <f t="shared" si="31"/>
        <v>1</v>
      </c>
      <c r="K56">
        <v>6</v>
      </c>
      <c r="L56" s="2">
        <v>-29.822600000000001</v>
      </c>
      <c r="M56" s="2">
        <f t="shared" si="32"/>
        <v>3.2275278616212232E-2</v>
      </c>
      <c r="N56" s="2">
        <f t="shared" si="33"/>
        <v>1.0416936097541265E-3</v>
      </c>
      <c r="P56">
        <v>6</v>
      </c>
      <c r="Q56" s="2">
        <v>-41.634569999999997</v>
      </c>
      <c r="R56" s="2">
        <f t="shared" si="34"/>
        <v>8.2845991510970794E-3</v>
      </c>
      <c r="S56" s="2">
        <f t="shared" si="35"/>
        <v>6.8634583094358449E-5</v>
      </c>
      <c r="U56">
        <v>6</v>
      </c>
      <c r="V56" s="2">
        <v>-47.333219999999997</v>
      </c>
      <c r="W56" s="2">
        <f t="shared" si="36"/>
        <v>4.2987184363179618E-3</v>
      </c>
      <c r="X56" s="2">
        <f t="shared" si="37"/>
        <v>1.8478980194739941E-5</v>
      </c>
    </row>
    <row r="57" spans="1:24" ht="14.25" customHeight="1" x14ac:dyDescent="0.45">
      <c r="A57">
        <v>7</v>
      </c>
      <c r="B57" s="2">
        <v>-34.294128999999998</v>
      </c>
      <c r="C57" s="2">
        <f t="shared" si="28"/>
        <v>1.9288282136753567E-2</v>
      </c>
      <c r="D57" s="2">
        <f t="shared" si="29"/>
        <v>3.7203782778700678E-4</v>
      </c>
      <c r="F57">
        <v>7</v>
      </c>
      <c r="G57" s="2"/>
      <c r="H57" s="2">
        <f t="shared" si="30"/>
        <v>1</v>
      </c>
      <c r="I57" s="2">
        <f t="shared" si="31"/>
        <v>1</v>
      </c>
      <c r="K57">
        <v>7</v>
      </c>
      <c r="L57" s="2">
        <v>-45.264719999999997</v>
      </c>
      <c r="M57" s="2">
        <f t="shared" si="32"/>
        <v>5.454613713323099E-3</v>
      </c>
      <c r="N57" s="2">
        <f t="shared" si="33"/>
        <v>2.9752810761572407E-5</v>
      </c>
      <c r="P57">
        <v>7</v>
      </c>
      <c r="Q57" s="2">
        <v>-42.151352000000003</v>
      </c>
      <c r="R57" s="2">
        <f t="shared" si="34"/>
        <v>7.8060692550336363E-3</v>
      </c>
      <c r="S57" s="2">
        <f t="shared" si="35"/>
        <v>6.0934717214381387E-5</v>
      </c>
      <c r="U57">
        <v>7</v>
      </c>
      <c r="V57" s="2">
        <v>-40.07349</v>
      </c>
      <c r="W57" s="2">
        <f t="shared" si="36"/>
        <v>9.9157484332487635E-3</v>
      </c>
      <c r="X57" s="2">
        <f t="shared" si="37"/>
        <v>9.8322066991475313E-5</v>
      </c>
    </row>
    <row r="58" spans="1:24" ht="14.25" customHeight="1" x14ac:dyDescent="0.45">
      <c r="A58">
        <v>8</v>
      </c>
      <c r="B58" s="2">
        <v>-19.902857000000001</v>
      </c>
      <c r="C58" s="2">
        <f t="shared" si="28"/>
        <v>0.1011246775931692</v>
      </c>
      <c r="D58" s="2">
        <f t="shared" si="29"/>
        <v>1.0226200418322418E-2</v>
      </c>
      <c r="F58">
        <v>8</v>
      </c>
      <c r="G58" s="2"/>
      <c r="H58" s="2">
        <f t="shared" si="30"/>
        <v>1</v>
      </c>
      <c r="I58" s="2">
        <f t="shared" si="31"/>
        <v>1</v>
      </c>
      <c r="K58">
        <v>8</v>
      </c>
      <c r="L58" s="2">
        <v>-35.542929999999998</v>
      </c>
      <c r="M58" s="2">
        <f t="shared" si="32"/>
        <v>1.6705270025258196E-2</v>
      </c>
      <c r="N58" s="2">
        <f t="shared" si="33"/>
        <v>2.7906604661678998E-4</v>
      </c>
      <c r="P58">
        <v>8</v>
      </c>
      <c r="Q58" s="2">
        <v>-36.452325000000002</v>
      </c>
      <c r="R58" s="2">
        <f t="shared" si="34"/>
        <v>1.5044707549126774E-2</v>
      </c>
      <c r="S58" s="2">
        <f t="shared" si="35"/>
        <v>2.2634322523875215E-4</v>
      </c>
      <c r="U58">
        <v>8</v>
      </c>
      <c r="V58" s="2">
        <v>-60.536642000000001</v>
      </c>
      <c r="W58" s="2">
        <f t="shared" si="36"/>
        <v>9.4008668162610552E-4</v>
      </c>
      <c r="X58" s="2">
        <f t="shared" si="37"/>
        <v>8.837629689707827E-7</v>
      </c>
    </row>
    <row r="59" spans="1:24" ht="14.25" customHeight="1" x14ac:dyDescent="0.45">
      <c r="A59" t="s">
        <v>1</v>
      </c>
      <c r="B59" s="2">
        <f>SQRT(SUM(D52:D58)/D51)</f>
        <v>0.71656648499661879</v>
      </c>
      <c r="F59" t="s">
        <v>1</v>
      </c>
      <c r="G59" s="2">
        <f>SQRT(SUM(I52:I58)/I51)</f>
        <v>2.6457513110645907</v>
      </c>
      <c r="K59" t="s">
        <v>1</v>
      </c>
      <c r="L59" s="2">
        <f>SQRT(SUM(N52:N58)/N51)</f>
        <v>0.22749789012894206</v>
      </c>
      <c r="P59" t="s">
        <v>1</v>
      </c>
      <c r="Q59" s="2">
        <f>SQRT(SUM(S52:S58)/S51)</f>
        <v>0.10869463364035319</v>
      </c>
      <c r="U59" t="s">
        <v>1</v>
      </c>
      <c r="V59" s="2">
        <f>SQRT(SUM(X52:X58)/X51)</f>
        <v>3.6164811843770912E-2</v>
      </c>
    </row>
    <row r="60" spans="1:24" ht="14.25" customHeight="1" x14ac:dyDescent="0.45">
      <c r="A60" t="s">
        <v>6</v>
      </c>
      <c r="B60" s="2">
        <f>B59*100</f>
        <v>71.656648499661884</v>
      </c>
      <c r="F60" t="s">
        <v>6</v>
      </c>
      <c r="G60" s="2">
        <f>G59*100</f>
        <v>264.57513110645908</v>
      </c>
      <c r="K60" t="s">
        <v>6</v>
      </c>
      <c r="L60" s="2">
        <f>L59*100</f>
        <v>22.749789012894205</v>
      </c>
      <c r="P60" t="s">
        <v>6</v>
      </c>
      <c r="Q60" s="2">
        <f>Q59*100</f>
        <v>10.869463364035319</v>
      </c>
      <c r="U60" t="s">
        <v>6</v>
      </c>
      <c r="V60" s="2">
        <f>V59*100</f>
        <v>3.6164811843770912</v>
      </c>
    </row>
    <row r="61" spans="1:24" ht="14.25" customHeight="1" x14ac:dyDescent="0.45">
      <c r="A61" t="s">
        <v>12</v>
      </c>
    </row>
    <row r="62" spans="1:24" ht="14.25" customHeight="1" x14ac:dyDescent="0.45">
      <c r="A62" t="s">
        <v>13</v>
      </c>
    </row>
    <row r="63" spans="1:24" ht="14.25" customHeight="1" x14ac:dyDescent="0.45">
      <c r="A63" t="s">
        <v>11</v>
      </c>
    </row>
    <row r="64" spans="1:24" ht="14.25" customHeight="1" x14ac:dyDescent="0.45"/>
    <row r="65" spans="1:24" ht="14.25" customHeight="1" x14ac:dyDescent="0.45">
      <c r="A65" s="1" t="s">
        <v>33</v>
      </c>
      <c r="B65" s="1"/>
      <c r="C65" s="1"/>
      <c r="D65" s="1"/>
      <c r="F65" s="1" t="s">
        <v>32</v>
      </c>
      <c r="G65" s="1"/>
      <c r="H65" s="1"/>
      <c r="I65" s="1"/>
      <c r="K65" s="1" t="s">
        <v>31</v>
      </c>
      <c r="L65" s="1"/>
      <c r="M65" s="1"/>
      <c r="N65" s="1"/>
      <c r="P65" s="1" t="s">
        <v>30</v>
      </c>
      <c r="Q65" s="1"/>
      <c r="R65" s="1"/>
      <c r="S65" s="1"/>
      <c r="U65" s="1" t="s">
        <v>29</v>
      </c>
      <c r="V65" s="1"/>
      <c r="W65" s="1"/>
      <c r="X65" s="1"/>
    </row>
    <row r="66" spans="1:24" ht="14.25" customHeight="1" x14ac:dyDescent="0.45">
      <c r="A66" t="s">
        <v>0</v>
      </c>
      <c r="B66" t="s">
        <v>4</v>
      </c>
      <c r="C66" t="s">
        <v>3</v>
      </c>
      <c r="D66" t="s">
        <v>2</v>
      </c>
      <c r="F66" t="s">
        <v>0</v>
      </c>
      <c r="G66" t="s">
        <v>4</v>
      </c>
      <c r="H66" t="s">
        <v>3</v>
      </c>
      <c r="I66" t="s">
        <v>2</v>
      </c>
      <c r="K66" t="s">
        <v>0</v>
      </c>
      <c r="L66" t="s">
        <v>4</v>
      </c>
      <c r="M66" t="s">
        <v>3</v>
      </c>
      <c r="N66" t="s">
        <v>2</v>
      </c>
      <c r="P66" t="s">
        <v>0</v>
      </c>
      <c r="Q66" t="s">
        <v>4</v>
      </c>
      <c r="R66" t="s">
        <v>3</v>
      </c>
      <c r="S66" t="s">
        <v>2</v>
      </c>
      <c r="U66" t="s">
        <v>0</v>
      </c>
      <c r="V66" t="s">
        <v>4</v>
      </c>
      <c r="W66" t="s">
        <v>3</v>
      </c>
      <c r="X66" t="s">
        <v>2</v>
      </c>
    </row>
    <row r="67" spans="1:24" ht="14.25" customHeight="1" x14ac:dyDescent="0.45">
      <c r="A67">
        <v>1</v>
      </c>
      <c r="B67" s="2">
        <v>10.213380000000001</v>
      </c>
      <c r="C67" s="2">
        <f>10^(B67/20)</f>
        <v>3.2409251424982437</v>
      </c>
      <c r="D67" s="2">
        <f>C67^2</f>
        <v>10.503595779277262</v>
      </c>
      <c r="F67">
        <v>1</v>
      </c>
      <c r="G67" s="2">
        <v>7.6886840000000003</v>
      </c>
      <c r="H67" s="2">
        <f>10^(G67/20)</f>
        <v>2.4234507594729195</v>
      </c>
      <c r="I67" s="2">
        <f>H67^2</f>
        <v>5.8731135835898707</v>
      </c>
      <c r="K67">
        <v>1</v>
      </c>
      <c r="L67" s="2">
        <v>9.7336778000000006</v>
      </c>
      <c r="M67" s="2">
        <f>10^(L67/20)</f>
        <v>3.0667889516022617</v>
      </c>
      <c r="N67" s="2">
        <f>M67^2</f>
        <v>9.4051944736696989</v>
      </c>
      <c r="P67">
        <v>1</v>
      </c>
      <c r="Q67" s="2">
        <v>3.9975963000000001</v>
      </c>
      <c r="R67" s="2">
        <f>10^(Q67/20)</f>
        <v>1.5844546558406989</v>
      </c>
      <c r="S67" s="2">
        <f>R67^2</f>
        <v>2.5104965564152675</v>
      </c>
      <c r="U67">
        <v>1</v>
      </c>
      <c r="V67" s="2">
        <v>1.1579819</v>
      </c>
      <c r="W67" s="2">
        <f>10^(V67/20)</f>
        <v>1.142612826598657</v>
      </c>
      <c r="X67" s="2">
        <f>W67^2</f>
        <v>1.3055640715077728</v>
      </c>
    </row>
    <row r="68" spans="1:24" ht="14.25" customHeight="1" x14ac:dyDescent="0.45">
      <c r="A68">
        <v>2</v>
      </c>
      <c r="B68" s="2">
        <v>6.6581945999999999</v>
      </c>
      <c r="C68" s="2">
        <f t="shared" ref="C68:C74" si="38">10^(B68/20)</f>
        <v>2.152334316163111</v>
      </c>
      <c r="D68" s="2">
        <f t="shared" ref="D68:D74" si="39">C68^2</f>
        <v>4.632543008533327</v>
      </c>
      <c r="F68">
        <v>2</v>
      </c>
      <c r="G68" s="2">
        <v>-3.8390048999999999</v>
      </c>
      <c r="H68" s="2">
        <f t="shared" ref="H68:H74" si="40">10^(G68/20)</f>
        <v>0.64276135113116617</v>
      </c>
      <c r="I68" s="2">
        <f t="shared" ref="I68:I74" si="41">H68^2</f>
        <v>0.41314215450796227</v>
      </c>
      <c r="K68">
        <v>2</v>
      </c>
      <c r="L68" s="2">
        <v>3.2868900000000001</v>
      </c>
      <c r="M68" s="2">
        <f t="shared" ref="M68:M74" si="42">10^(L68/20)</f>
        <v>1.4599719100093851</v>
      </c>
      <c r="N68" s="2">
        <f t="shared" ref="N68:N74" si="43">M68^2</f>
        <v>2.1315179780164519</v>
      </c>
      <c r="P68">
        <v>2</v>
      </c>
      <c r="Q68" s="2">
        <v>-17.12059</v>
      </c>
      <c r="R68" s="2">
        <f t="shared" ref="R68:R74" si="44">10^(Q68/20)</f>
        <v>0.13930621742276703</v>
      </c>
      <c r="S68" s="2">
        <f t="shared" ref="S68:S74" si="45">R68^2</f>
        <v>1.940622221263924E-2</v>
      </c>
      <c r="U68">
        <v>2</v>
      </c>
      <c r="V68" s="2">
        <v>-32.539209999999997</v>
      </c>
      <c r="W68" s="2">
        <f t="shared" ref="W68:W74" si="46">10^(V68/20)</f>
        <v>2.3606929334228362E-2</v>
      </c>
      <c r="X68" s="2">
        <f t="shared" ref="X68:X74" si="47">W68^2</f>
        <v>5.5728711259125159E-4</v>
      </c>
    </row>
    <row r="69" spans="1:24" ht="14.25" customHeight="1" x14ac:dyDescent="0.45">
      <c r="A69">
        <v>3</v>
      </c>
      <c r="B69" s="2">
        <v>-0.71119622999999998</v>
      </c>
      <c r="C69" s="2">
        <f t="shared" si="38"/>
        <v>0.92138298614742209</v>
      </c>
      <c r="D69" s="2">
        <f t="shared" si="39"/>
        <v>0.84894660716194059</v>
      </c>
      <c r="F69">
        <v>3</v>
      </c>
      <c r="G69" s="2">
        <v>-14.001612</v>
      </c>
      <c r="H69" s="2">
        <f t="shared" si="40"/>
        <v>0.19948920518704</v>
      </c>
      <c r="I69" s="2">
        <f t="shared" si="41"/>
        <v>3.9795942986156949E-2</v>
      </c>
      <c r="K69">
        <v>3</v>
      </c>
      <c r="L69" s="2">
        <v>-17.306818</v>
      </c>
      <c r="M69" s="2">
        <f t="shared" si="42"/>
        <v>0.13635124256218747</v>
      </c>
      <c r="N69" s="2">
        <f t="shared" si="43"/>
        <v>1.8591661348252485E-2</v>
      </c>
      <c r="P69">
        <v>3</v>
      </c>
      <c r="Q69" s="2">
        <v>-19.760771999999999</v>
      </c>
      <c r="R69" s="2">
        <f t="shared" si="44"/>
        <v>0.1027924932319688</v>
      </c>
      <c r="S69" s="2">
        <f t="shared" si="45"/>
        <v>1.0566296664844353E-2</v>
      </c>
      <c r="U69">
        <v>3</v>
      </c>
      <c r="V69" s="2">
        <v>-30.609535000000001</v>
      </c>
      <c r="W69" s="2">
        <f t="shared" si="46"/>
        <v>2.9479712923301316E-2</v>
      </c>
      <c r="X69" s="2">
        <f t="shared" si="47"/>
        <v>8.690534740402586E-4</v>
      </c>
    </row>
    <row r="70" spans="1:24" ht="14.25" customHeight="1" x14ac:dyDescent="0.45">
      <c r="A70">
        <v>4</v>
      </c>
      <c r="B70" s="2">
        <v>-27.195322000000001</v>
      </c>
      <c r="C70" s="2">
        <f t="shared" si="38"/>
        <v>4.3675099192299137E-2</v>
      </c>
      <c r="D70" s="2">
        <f t="shared" si="39"/>
        <v>1.9075142894571686E-3</v>
      </c>
      <c r="F70">
        <v>4</v>
      </c>
      <c r="G70" s="2">
        <v>-23.803443999999999</v>
      </c>
      <c r="H70" s="2">
        <f t="shared" si="40"/>
        <v>6.4539827455276713E-2</v>
      </c>
      <c r="I70" s="2">
        <f t="shared" si="41"/>
        <v>4.1653893279568902E-3</v>
      </c>
      <c r="K70">
        <v>4</v>
      </c>
      <c r="L70" s="2">
        <v>-10.96701</v>
      </c>
      <c r="M70" s="2">
        <f t="shared" si="42"/>
        <v>0.2829107825538919</v>
      </c>
      <c r="N70" s="2">
        <f t="shared" si="43"/>
        <v>8.0038510885255501E-2</v>
      </c>
      <c r="P70">
        <v>4</v>
      </c>
      <c r="Q70" s="2">
        <v>-26.777850000000001</v>
      </c>
      <c r="R70" s="2">
        <f t="shared" si="44"/>
        <v>4.5825530364885549E-2</v>
      </c>
      <c r="S70" s="2">
        <f t="shared" si="45"/>
        <v>2.0999792332230473E-3</v>
      </c>
      <c r="U70">
        <v>4</v>
      </c>
      <c r="V70" s="2">
        <v>-37.325380000000003</v>
      </c>
      <c r="W70" s="2">
        <f t="shared" si="46"/>
        <v>1.3606016710115248E-2</v>
      </c>
      <c r="X70" s="2">
        <f t="shared" si="47"/>
        <v>1.8512369071593536E-4</v>
      </c>
    </row>
    <row r="71" spans="1:24" ht="14.25" customHeight="1" x14ac:dyDescent="0.45">
      <c r="A71">
        <v>5</v>
      </c>
      <c r="B71" s="2">
        <v>-10.644600000000001</v>
      </c>
      <c r="C71" s="2">
        <f t="shared" si="38"/>
        <v>0.29360943005423967</v>
      </c>
      <c r="D71" s="2">
        <f t="shared" si="39"/>
        <v>8.6206497416775454E-2</v>
      </c>
      <c r="F71">
        <v>5</v>
      </c>
      <c r="G71" s="2">
        <v>-21.88279</v>
      </c>
      <c r="H71" s="2">
        <f t="shared" si="40"/>
        <v>8.0511978663377406E-2</v>
      </c>
      <c r="I71" s="2">
        <f t="shared" si="41"/>
        <v>6.4821787082921384E-3</v>
      </c>
      <c r="K71">
        <v>5</v>
      </c>
      <c r="L71" s="2">
        <v>-20.722280000000001</v>
      </c>
      <c r="M71" s="2">
        <f t="shared" si="42"/>
        <v>9.2020799032672421E-2</v>
      </c>
      <c r="N71" s="2">
        <f t="shared" si="43"/>
        <v>8.4678274546114863E-3</v>
      </c>
      <c r="P71">
        <v>5</v>
      </c>
      <c r="Q71" s="2">
        <v>-33.885595000000002</v>
      </c>
      <c r="R71" s="2">
        <f t="shared" si="44"/>
        <v>2.0217164741691072E-2</v>
      </c>
      <c r="S71" s="2">
        <f t="shared" si="45"/>
        <v>4.0873375019267663E-4</v>
      </c>
      <c r="U71">
        <v>5</v>
      </c>
      <c r="V71" s="2">
        <v>-34.319760000000002</v>
      </c>
      <c r="W71" s="2">
        <f t="shared" si="46"/>
        <v>1.923144866632448E-2</v>
      </c>
      <c r="X71" s="2">
        <f t="shared" si="47"/>
        <v>3.698486178054736E-4</v>
      </c>
    </row>
    <row r="72" spans="1:24" ht="14.25" customHeight="1" x14ac:dyDescent="0.45">
      <c r="A72">
        <v>6</v>
      </c>
      <c r="B72" s="2">
        <v>-13.612009</v>
      </c>
      <c r="C72" s="2">
        <f t="shared" si="38"/>
        <v>0.20864094927009671</v>
      </c>
      <c r="D72" s="2">
        <f t="shared" si="39"/>
        <v>4.353104571232707E-2</v>
      </c>
      <c r="F72">
        <v>6</v>
      </c>
      <c r="G72" s="2">
        <v>-34.39678</v>
      </c>
      <c r="H72" s="2">
        <f t="shared" si="40"/>
        <v>1.9061672340701982E-2</v>
      </c>
      <c r="I72" s="2">
        <f t="shared" si="41"/>
        <v>3.6334735242428298E-4</v>
      </c>
      <c r="K72">
        <v>6</v>
      </c>
      <c r="L72" s="2">
        <v>-20.412289999999999</v>
      </c>
      <c r="M72" s="2">
        <f t="shared" si="42"/>
        <v>9.5364228572764248E-2</v>
      </c>
      <c r="N72" s="2">
        <f t="shared" si="43"/>
        <v>9.0943360912784255E-3</v>
      </c>
      <c r="P72">
        <v>6</v>
      </c>
      <c r="Q72" s="2">
        <v>-38.725464000000002</v>
      </c>
      <c r="R72" s="2">
        <f t="shared" si="44"/>
        <v>1.1580486376622446E-2</v>
      </c>
      <c r="S72" s="2">
        <f t="shared" si="45"/>
        <v>1.3410766471913806E-4</v>
      </c>
      <c r="U72">
        <v>6</v>
      </c>
      <c r="V72" s="2">
        <v>-46.315759999999997</v>
      </c>
      <c r="W72" s="2">
        <f t="shared" si="46"/>
        <v>4.8329466381010211E-3</v>
      </c>
      <c r="X72" s="2">
        <f t="shared" si="47"/>
        <v>2.3357373206731961E-5</v>
      </c>
    </row>
    <row r="73" spans="1:24" ht="14.25" customHeight="1" x14ac:dyDescent="0.45">
      <c r="A73">
        <v>7</v>
      </c>
      <c r="B73" s="2">
        <v>-51.453702999999997</v>
      </c>
      <c r="C73" s="2">
        <f t="shared" si="38"/>
        <v>2.6749449578323142E-3</v>
      </c>
      <c r="D73" s="2">
        <f t="shared" si="39"/>
        <v>7.1553305274325207E-6</v>
      </c>
      <c r="F73">
        <v>7</v>
      </c>
      <c r="G73" s="2">
        <v>-27.474930000000001</v>
      </c>
      <c r="H73" s="2">
        <f t="shared" si="40"/>
        <v>4.2291540020292617E-2</v>
      </c>
      <c r="I73" s="2">
        <f t="shared" si="41"/>
        <v>1.7885743572880121E-3</v>
      </c>
      <c r="K73">
        <v>7</v>
      </c>
      <c r="L73" s="2">
        <v>-26.607890000000001</v>
      </c>
      <c r="M73" s="2">
        <f t="shared" si="42"/>
        <v>4.6731045771555117E-2</v>
      </c>
      <c r="N73" s="2">
        <f t="shared" si="43"/>
        <v>2.1837906389031796E-3</v>
      </c>
      <c r="P73">
        <v>7</v>
      </c>
      <c r="Q73" s="2">
        <v>-40.383141999999999</v>
      </c>
      <c r="R73" s="2">
        <f t="shared" si="44"/>
        <v>9.5684788224553296E-3</v>
      </c>
      <c r="S73" s="2">
        <f t="shared" si="45"/>
        <v>9.1555786975776131E-5</v>
      </c>
      <c r="U73">
        <v>7</v>
      </c>
      <c r="V73" s="2">
        <v>-39.640098999999999</v>
      </c>
      <c r="W73" s="2">
        <f t="shared" si="46"/>
        <v>1.0423055493393609E-2</v>
      </c>
      <c r="X73" s="2">
        <f t="shared" si="47"/>
        <v>1.086400858183627E-4</v>
      </c>
    </row>
    <row r="74" spans="1:24" ht="14.25" customHeight="1" x14ac:dyDescent="0.45">
      <c r="A74">
        <v>8</v>
      </c>
      <c r="B74" s="2">
        <v>-19.997854</v>
      </c>
      <c r="C74" s="2">
        <f t="shared" si="38"/>
        <v>0.10002470979041372</v>
      </c>
      <c r="D74" s="2">
        <f t="shared" si="39"/>
        <v>1.0004942568656488E-2</v>
      </c>
      <c r="F74">
        <v>8</v>
      </c>
      <c r="G74" s="2">
        <v>-34.282798</v>
      </c>
      <c r="H74" s="2">
        <f t="shared" si="40"/>
        <v>1.9313460690947599E-2</v>
      </c>
      <c r="I74" s="2">
        <f t="shared" si="41"/>
        <v>3.7300976386077812E-4</v>
      </c>
      <c r="K74">
        <v>8</v>
      </c>
      <c r="L74" s="2">
        <v>-24.836721000000001</v>
      </c>
      <c r="M74" s="2">
        <f t="shared" si="42"/>
        <v>5.7301230736357414E-2</v>
      </c>
      <c r="N74" s="2">
        <f t="shared" si="43"/>
        <v>3.2834310439012718E-3</v>
      </c>
      <c r="P74">
        <v>8</v>
      </c>
      <c r="Q74" s="2">
        <v>-35.942659999999997</v>
      </c>
      <c r="R74" s="2">
        <f t="shared" si="44"/>
        <v>1.5953904939419682E-2</v>
      </c>
      <c r="S74" s="2">
        <f t="shared" si="45"/>
        <v>2.5452708281603972E-4</v>
      </c>
      <c r="U74">
        <v>8</v>
      </c>
      <c r="V74" s="2">
        <v>-55.865409999999997</v>
      </c>
      <c r="W74" s="2">
        <f t="shared" si="46"/>
        <v>1.6096427580770041E-3</v>
      </c>
      <c r="X74" s="2">
        <f t="shared" si="47"/>
        <v>2.5909498086297447E-6</v>
      </c>
    </row>
    <row r="75" spans="1:24" ht="14.25" customHeight="1" x14ac:dyDescent="0.45">
      <c r="A75" t="s">
        <v>1</v>
      </c>
      <c r="B75" s="2">
        <f>SQRT(SUM(D68:D74)/D67)</f>
        <v>0.73167920075383452</v>
      </c>
      <c r="F75" t="s">
        <v>1</v>
      </c>
      <c r="G75" s="2">
        <f>SQRT(SUM(I68:I74)/I67)</f>
        <v>0.2817152053786387</v>
      </c>
      <c r="K75" t="s">
        <v>1</v>
      </c>
      <c r="L75" s="2">
        <f>SQRT(SUM(N68:N74)/N67)</f>
        <v>0.48945617989768869</v>
      </c>
      <c r="P75" t="s">
        <v>1</v>
      </c>
      <c r="Q75" s="2">
        <f>SQRT(SUM(S68:S74)/S67)</f>
        <v>0.11458378323700356</v>
      </c>
      <c r="U75" t="s">
        <v>1</v>
      </c>
      <c r="V75" s="2">
        <f>SQRT(SUM(X68:X74)/X67)</f>
        <v>4.0257667456496685E-2</v>
      </c>
    </row>
    <row r="76" spans="1:24" ht="14.25" customHeight="1" x14ac:dyDescent="0.45">
      <c r="A76" t="s">
        <v>6</v>
      </c>
      <c r="B76" s="2">
        <f>B75*100</f>
        <v>73.167920075383449</v>
      </c>
      <c r="F76" t="s">
        <v>6</v>
      </c>
      <c r="G76" s="2">
        <f>G75*100</f>
        <v>28.17152053786387</v>
      </c>
      <c r="K76" t="s">
        <v>6</v>
      </c>
      <c r="L76" s="2">
        <f>L75*100</f>
        <v>48.94561798976887</v>
      </c>
      <c r="P76" t="s">
        <v>6</v>
      </c>
      <c r="Q76" s="2">
        <f>Q75*100</f>
        <v>11.458378323700357</v>
      </c>
      <c r="U76" t="s">
        <v>6</v>
      </c>
      <c r="V76" s="2">
        <f>V75*100</f>
        <v>4.0257667456496682</v>
      </c>
    </row>
    <row r="77" spans="1:24" ht="14.25" customHeight="1" x14ac:dyDescent="0.45">
      <c r="A77" t="s">
        <v>12</v>
      </c>
    </row>
    <row r="78" spans="1:24" ht="14.25" customHeight="1" x14ac:dyDescent="0.45">
      <c r="A78" t="s">
        <v>13</v>
      </c>
    </row>
    <row r="79" spans="1:24" ht="14.25" customHeight="1" x14ac:dyDescent="0.45">
      <c r="A79" t="s">
        <v>11</v>
      </c>
    </row>
    <row r="80" spans="1:24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</sheetData>
  <mergeCells count="25">
    <mergeCell ref="A65:D65"/>
    <mergeCell ref="F65:I65"/>
    <mergeCell ref="K65:N65"/>
    <mergeCell ref="P65:S65"/>
    <mergeCell ref="U65:X65"/>
    <mergeCell ref="A33:D33"/>
    <mergeCell ref="F33:I33"/>
    <mergeCell ref="K33:N33"/>
    <mergeCell ref="P33:S33"/>
    <mergeCell ref="U33:X33"/>
    <mergeCell ref="A49:D49"/>
    <mergeCell ref="F49:I49"/>
    <mergeCell ref="K49:N49"/>
    <mergeCell ref="P49:S49"/>
    <mergeCell ref="U49:X49"/>
    <mergeCell ref="A1:D1"/>
    <mergeCell ref="F1:I1"/>
    <mergeCell ref="K1:N1"/>
    <mergeCell ref="P1:S1"/>
    <mergeCell ref="U1:X1"/>
    <mergeCell ref="A17:D17"/>
    <mergeCell ref="F17:I17"/>
    <mergeCell ref="K17:N17"/>
    <mergeCell ref="P17:S17"/>
    <mergeCell ref="U17:X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SZE SIM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 Majer</dc:creator>
  <cp:keywords/>
  <dc:description/>
  <cp:lastModifiedBy>Nikola Majer</cp:lastModifiedBy>
  <cp:revision/>
  <dcterms:created xsi:type="dcterms:W3CDTF">2026-04-15T07:08:26Z</dcterms:created>
  <dcterms:modified xsi:type="dcterms:W3CDTF">2026-05-16T13:29:19Z</dcterms:modified>
  <cp:category/>
  <cp:contentStatus/>
</cp:coreProperties>
</file>